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i-data-dashboard\data\processed\"/>
    </mc:Choice>
  </mc:AlternateContent>
  <xr:revisionPtr revIDLastSave="0" documentId="13_ncr:1_{2F1B4F4B-AB05-42D4-83B7-A8A0E56E466B}" xr6:coauthVersionLast="47" xr6:coauthVersionMax="47" xr10:uidLastSave="{00000000-0000-0000-0000-000000000000}"/>
  <bookViews>
    <workbookView xWindow="0" yWindow="360" windowWidth="23256" windowHeight="12456" xr2:uid="{A97FC118-EC85-42BA-8B66-D7486AB57B80}"/>
  </bookViews>
  <sheets>
    <sheet name="population_india_census2011" sheetId="1" r:id="rId1"/>
    <sheet name="Sheet2" sheetId="3" r:id="rId2"/>
  </sheets>
  <externalReferences>
    <externalReference r:id="rId3"/>
  </externalReferences>
  <definedNames>
    <definedName name="_xlnm._FilterDatabase" localSheetId="0" hidden="1">population_india_census2011!$A$1:$P$37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29" i="1"/>
  <c r="L23" i="1"/>
  <c r="L5" i="1"/>
  <c r="L10" i="1"/>
  <c r="L11" i="1"/>
  <c r="L19" i="1"/>
  <c r="L18" i="1"/>
  <c r="L17" i="1"/>
  <c r="L14" i="1"/>
  <c r="L12" i="1"/>
  <c r="L9" i="1"/>
  <c r="L8" i="1"/>
  <c r="L30" i="1"/>
  <c r="L3" i="1"/>
  <c r="L13" i="1"/>
  <c r="L6" i="1"/>
  <c r="L15" i="1"/>
  <c r="L7" i="1"/>
  <c r="L16" i="1"/>
  <c r="L21" i="1"/>
  <c r="L22" i="1"/>
  <c r="L24" i="1"/>
  <c r="L25" i="1"/>
  <c r="L26" i="1"/>
  <c r="L27" i="1"/>
  <c r="L28" i="1"/>
  <c r="L31" i="1"/>
  <c r="L20" i="1"/>
  <c r="L32" i="1"/>
  <c r="L33" i="1"/>
  <c r="L34" i="1"/>
  <c r="L35" i="1"/>
  <c r="L36" i="1"/>
  <c r="L37" i="1"/>
  <c r="L4" i="1"/>
  <c r="I5" i="1"/>
  <c r="I2" i="1"/>
  <c r="I10" i="1"/>
  <c r="I11" i="1"/>
  <c r="I19" i="1"/>
  <c r="I18" i="1"/>
  <c r="I17" i="1"/>
  <c r="I14" i="1"/>
  <c r="I12" i="1"/>
  <c r="I9" i="1"/>
  <c r="I8" i="1"/>
  <c r="I30" i="1"/>
  <c r="I3" i="1"/>
  <c r="I13" i="1"/>
  <c r="I6" i="1"/>
  <c r="I15" i="1"/>
  <c r="I7" i="1"/>
  <c r="I16" i="1"/>
  <c r="I21" i="1"/>
  <c r="I22" i="1"/>
  <c r="I23" i="1"/>
  <c r="I24" i="1"/>
  <c r="I25" i="1"/>
  <c r="I26" i="1"/>
  <c r="I27" i="1"/>
  <c r="I28" i="1"/>
  <c r="I29" i="1"/>
  <c r="I31" i="1"/>
  <c r="I20" i="1"/>
  <c r="I32" i="1"/>
  <c r="I33" i="1"/>
  <c r="I34" i="1"/>
  <c r="I35" i="1"/>
  <c r="I36" i="1"/>
  <c r="I37" i="1"/>
  <c r="I4" i="1"/>
  <c r="H5" i="1"/>
  <c r="H2" i="1"/>
  <c r="H10" i="1"/>
  <c r="H11" i="1"/>
  <c r="H19" i="1"/>
  <c r="H18" i="1"/>
  <c r="H17" i="1"/>
  <c r="H14" i="1"/>
  <c r="H12" i="1"/>
  <c r="H9" i="1"/>
  <c r="H8" i="1"/>
  <c r="H30" i="1"/>
  <c r="H3" i="1"/>
  <c r="H13" i="1"/>
  <c r="H6" i="1"/>
  <c r="H15" i="1"/>
  <c r="H7" i="1"/>
  <c r="H16" i="1"/>
  <c r="H21" i="1"/>
  <c r="H22" i="1"/>
  <c r="H23" i="1"/>
  <c r="H24" i="1"/>
  <c r="H25" i="1"/>
  <c r="H26" i="1"/>
  <c r="H27" i="1"/>
  <c r="H28" i="1"/>
  <c r="H29" i="1"/>
  <c r="H31" i="1"/>
  <c r="H20" i="1"/>
  <c r="H32" i="1"/>
  <c r="H33" i="1"/>
  <c r="H34" i="1"/>
  <c r="H35" i="1"/>
  <c r="H36" i="1"/>
  <c r="H37" i="1"/>
  <c r="H4" i="1"/>
  <c r="G5" i="1"/>
  <c r="K5" i="1" s="1"/>
  <c r="G2" i="1"/>
  <c r="K2" i="1" s="1"/>
  <c r="G10" i="1"/>
  <c r="K10" i="1" s="1"/>
  <c r="G11" i="1"/>
  <c r="K11" i="1" s="1"/>
  <c r="G19" i="1"/>
  <c r="K19" i="1" s="1"/>
  <c r="G18" i="1"/>
  <c r="K18" i="1" s="1"/>
  <c r="G17" i="1"/>
  <c r="K17" i="1" s="1"/>
  <c r="G14" i="1"/>
  <c r="K14" i="1" s="1"/>
  <c r="G12" i="1"/>
  <c r="K12" i="1" s="1"/>
  <c r="G9" i="1"/>
  <c r="K9" i="1" s="1"/>
  <c r="G8" i="1"/>
  <c r="K8" i="1" s="1"/>
  <c r="G30" i="1"/>
  <c r="K30" i="1" s="1"/>
  <c r="G3" i="1"/>
  <c r="K3" i="1" s="1"/>
  <c r="G13" i="1"/>
  <c r="K13" i="1" s="1"/>
  <c r="G6" i="1"/>
  <c r="K6" i="1" s="1"/>
  <c r="G15" i="1"/>
  <c r="K15" i="1" s="1"/>
  <c r="G7" i="1"/>
  <c r="K7" i="1" s="1"/>
  <c r="G16" i="1"/>
  <c r="K16" i="1" s="1"/>
  <c r="G21" i="1"/>
  <c r="K21" i="1" s="1"/>
  <c r="G22" i="1"/>
  <c r="K22" i="1" s="1"/>
  <c r="G23" i="1"/>
  <c r="K23" i="1" s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1" i="1"/>
  <c r="K31" i="1" s="1"/>
  <c r="G20" i="1"/>
  <c r="K20" i="1" s="1"/>
  <c r="G32" i="1"/>
  <c r="K32" i="1" s="1"/>
  <c r="G33" i="1"/>
  <c r="K33" i="1" s="1"/>
  <c r="G34" i="1"/>
  <c r="K34" i="1" s="1"/>
  <c r="G35" i="1"/>
  <c r="K35" i="1" s="1"/>
  <c r="G36" i="1"/>
  <c r="K36" i="1" s="1"/>
  <c r="G37" i="1"/>
  <c r="K37" i="1" s="1"/>
  <c r="G4" i="1"/>
  <c r="K4" i="1" s="1"/>
  <c r="F5" i="1"/>
  <c r="F2" i="1"/>
  <c r="F10" i="1"/>
  <c r="F11" i="1"/>
  <c r="F19" i="1"/>
  <c r="F18" i="1"/>
  <c r="F17" i="1"/>
  <c r="F14" i="1"/>
  <c r="F12" i="1"/>
  <c r="F9" i="1"/>
  <c r="F8" i="1"/>
  <c r="F30" i="1"/>
  <c r="F3" i="1"/>
  <c r="F13" i="1"/>
  <c r="F6" i="1"/>
  <c r="F15" i="1"/>
  <c r="F7" i="1"/>
  <c r="F16" i="1"/>
  <c r="F21" i="1"/>
  <c r="F22" i="1"/>
  <c r="F23" i="1"/>
  <c r="F24" i="1"/>
  <c r="F25" i="1"/>
  <c r="F26" i="1"/>
  <c r="F27" i="1"/>
  <c r="F28" i="1"/>
  <c r="F29" i="1"/>
  <c r="F31" i="1"/>
  <c r="F20" i="1"/>
  <c r="F32" i="1"/>
  <c r="F33" i="1"/>
  <c r="F34" i="1"/>
  <c r="F35" i="1"/>
  <c r="F36" i="1"/>
  <c r="F37" i="1"/>
  <c r="F4" i="1"/>
  <c r="E5" i="1"/>
  <c r="E2" i="1"/>
  <c r="E10" i="1"/>
  <c r="E11" i="1"/>
  <c r="E19" i="1"/>
  <c r="E18" i="1"/>
  <c r="E17" i="1"/>
  <c r="E14" i="1"/>
  <c r="E12" i="1"/>
  <c r="E9" i="1"/>
  <c r="E8" i="1"/>
  <c r="E30" i="1"/>
  <c r="E3" i="1"/>
  <c r="E13" i="1"/>
  <c r="E6" i="1"/>
  <c r="E15" i="1"/>
  <c r="E7" i="1"/>
  <c r="E16" i="1"/>
  <c r="E21" i="1"/>
  <c r="E22" i="1"/>
  <c r="E23" i="1"/>
  <c r="E24" i="1"/>
  <c r="E25" i="1"/>
  <c r="E26" i="1"/>
  <c r="E27" i="1"/>
  <c r="E28" i="1"/>
  <c r="E29" i="1"/>
  <c r="E31" i="1"/>
  <c r="E20" i="1"/>
  <c r="E32" i="1"/>
  <c r="E33" i="1"/>
  <c r="E34" i="1"/>
  <c r="E35" i="1"/>
  <c r="E36" i="1"/>
  <c r="E37" i="1"/>
  <c r="E4" i="1"/>
  <c r="D5" i="1"/>
  <c r="J5" i="1" s="1"/>
  <c r="D2" i="1"/>
  <c r="J2" i="1" s="1"/>
  <c r="D10" i="1"/>
  <c r="J10" i="1" s="1"/>
  <c r="D11" i="1"/>
  <c r="J11" i="1" s="1"/>
  <c r="D19" i="1"/>
  <c r="J19" i="1" s="1"/>
  <c r="D18" i="1"/>
  <c r="J18" i="1" s="1"/>
  <c r="D17" i="1"/>
  <c r="J17" i="1" s="1"/>
  <c r="D14" i="1"/>
  <c r="J14" i="1" s="1"/>
  <c r="D12" i="1"/>
  <c r="J12" i="1" s="1"/>
  <c r="D9" i="1"/>
  <c r="J9" i="1" s="1"/>
  <c r="D8" i="1"/>
  <c r="J8" i="1" s="1"/>
  <c r="D30" i="1"/>
  <c r="J30" i="1" s="1"/>
  <c r="D3" i="1"/>
  <c r="J3" i="1" s="1"/>
  <c r="D13" i="1"/>
  <c r="J13" i="1" s="1"/>
  <c r="D6" i="1"/>
  <c r="J6" i="1" s="1"/>
  <c r="D15" i="1"/>
  <c r="J15" i="1" s="1"/>
  <c r="D7" i="1"/>
  <c r="J7" i="1" s="1"/>
  <c r="D16" i="1"/>
  <c r="J16" i="1" s="1"/>
  <c r="D21" i="1"/>
  <c r="J21" i="1" s="1"/>
  <c r="D22" i="1"/>
  <c r="J22" i="1" s="1"/>
  <c r="D23" i="1"/>
  <c r="J23" i="1" s="1"/>
  <c r="D24" i="1"/>
  <c r="J24" i="1" s="1"/>
  <c r="D25" i="1"/>
  <c r="J25" i="1" s="1"/>
  <c r="D26" i="1"/>
  <c r="J26" i="1" s="1"/>
  <c r="D27" i="1"/>
  <c r="J27" i="1" s="1"/>
  <c r="D28" i="1"/>
  <c r="J28" i="1" s="1"/>
  <c r="D29" i="1"/>
  <c r="J29" i="1" s="1"/>
  <c r="D31" i="1"/>
  <c r="J31" i="1" s="1"/>
  <c r="D20" i="1"/>
  <c r="J20" i="1" s="1"/>
  <c r="D32" i="1"/>
  <c r="J32" i="1" s="1"/>
  <c r="D33" i="1"/>
  <c r="J33" i="1" s="1"/>
  <c r="D34" i="1"/>
  <c r="J34" i="1" s="1"/>
  <c r="D35" i="1"/>
  <c r="J35" i="1" s="1"/>
  <c r="D36" i="1"/>
  <c r="J36" i="1" s="1"/>
  <c r="D37" i="1"/>
  <c r="J37" i="1" s="1"/>
  <c r="D4" i="1"/>
  <c r="J4" i="1" s="1"/>
  <c r="O36" i="1" l="1"/>
  <c r="N4" i="1"/>
  <c r="O37" i="1"/>
  <c r="O35" i="1"/>
  <c r="O34" i="1"/>
  <c r="O33" i="1"/>
  <c r="O32" i="1"/>
  <c r="N26" i="1"/>
  <c r="O4" i="1"/>
  <c r="O26" i="1"/>
  <c r="N37" i="1"/>
  <c r="N25" i="1"/>
  <c r="O25" i="1"/>
  <c r="N36" i="1"/>
  <c r="N9" i="1"/>
  <c r="O24" i="1"/>
  <c r="N35" i="1"/>
  <c r="N23" i="1"/>
  <c r="O23" i="1"/>
  <c r="N34" i="1"/>
  <c r="O22" i="1"/>
  <c r="O14" i="1"/>
  <c r="N33" i="1"/>
  <c r="N17" i="1"/>
  <c r="O21" i="1"/>
  <c r="O17" i="1"/>
  <c r="N32" i="1"/>
  <c r="N18" i="1"/>
  <c r="O16" i="1"/>
  <c r="O18" i="1"/>
  <c r="N20" i="1"/>
  <c r="N7" i="1"/>
  <c r="N19" i="1"/>
  <c r="O20" i="1"/>
  <c r="O7" i="1"/>
  <c r="O19" i="1"/>
  <c r="N31" i="1"/>
  <c r="N15" i="1"/>
  <c r="N11" i="1"/>
  <c r="O31" i="1"/>
  <c r="O15" i="1"/>
  <c r="O11" i="1"/>
  <c r="N30" i="1"/>
  <c r="O30" i="1"/>
  <c r="N14" i="1"/>
  <c r="N16" i="1"/>
  <c r="N29" i="1"/>
  <c r="N10" i="1"/>
  <c r="O29" i="1"/>
  <c r="O10" i="1"/>
  <c r="N28" i="1"/>
  <c r="N13" i="1"/>
  <c r="N2" i="1"/>
  <c r="O28" i="1"/>
  <c r="O13" i="1"/>
  <c r="O2" i="1"/>
  <c r="N8" i="1"/>
  <c r="O8" i="1"/>
  <c r="N24" i="1"/>
  <c r="O9" i="1"/>
  <c r="N12" i="1"/>
  <c r="O12" i="1"/>
  <c r="N22" i="1"/>
  <c r="N21" i="1"/>
  <c r="N6" i="1"/>
  <c r="O6" i="1"/>
  <c r="N27" i="1"/>
  <c r="N3" i="1"/>
  <c r="N5" i="1"/>
  <c r="O27" i="1"/>
  <c r="O3" i="1"/>
  <c r="O5" i="1"/>
  <c r="M4" i="1"/>
  <c r="M26" i="1"/>
  <c r="M30" i="1"/>
  <c r="M37" i="1"/>
  <c r="M25" i="1"/>
  <c r="M8" i="1"/>
  <c r="M36" i="1"/>
  <c r="M24" i="1"/>
  <c r="M9" i="1"/>
  <c r="M35" i="1"/>
  <c r="M23" i="1"/>
  <c r="M12" i="1"/>
  <c r="M34" i="1"/>
  <c r="M22" i="1"/>
  <c r="M14" i="1"/>
  <c r="M33" i="1"/>
  <c r="M21" i="1"/>
  <c r="M17" i="1"/>
  <c r="M32" i="1"/>
  <c r="M16" i="1"/>
  <c r="M18" i="1"/>
  <c r="M20" i="1"/>
  <c r="M7" i="1"/>
  <c r="M19" i="1"/>
  <c r="M31" i="1"/>
  <c r="M15" i="1"/>
  <c r="M11" i="1"/>
  <c r="M29" i="1"/>
  <c r="M6" i="1"/>
  <c r="M10" i="1"/>
  <c r="M28" i="1"/>
  <c r="M13" i="1"/>
  <c r="M2" i="1"/>
  <c r="J56" i="1" s="1"/>
  <c r="M27" i="1"/>
  <c r="M3" i="1"/>
  <c r="M5" i="1"/>
  <c r="J58" i="1" l="1"/>
  <c r="J57" i="1"/>
</calcChain>
</file>

<file path=xl/sharedStrings.xml><?xml version="1.0" encoding="utf-8"?>
<sst xmlns="http://schemas.openxmlformats.org/spreadsheetml/2006/main" count="104" uniqueCount="68">
  <si>
    <t>Population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</si>
  <si>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</si>
  <si>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</si>
  <si>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</si>
  <si>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</si>
  <si>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</si>
  <si>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</si>
  <si>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</si>
  <si>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</si>
  <si>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</si>
  <si>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</si>
  <si>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</si>
  <si>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Kerala</t>
  </si>
  <si>
    <t>Jharkhand</t>
  </si>
  <si>
    <t>Assam</t>
  </si>
  <si>
    <t>Punjab</t>
  </si>
  <si>
    <t>Chhattisgarh</t>
  </si>
  <si>
    <t>Haryana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</si>
  <si>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</si>
  <si>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</si>
  <si>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</si>
  <si>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</si>
  <si>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</si>
  <si>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</si>
  <si>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</si>
  <si>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</si>
  <si>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Mizoram</t>
  </si>
  <si>
    <t>Sikkim</t>
  </si>
  <si>
    <t>Delhi</t>
  </si>
  <si>
    <t>Jammu and Kashmir</t>
  </si>
  <si>
    <t>Puducherry</t>
  </si>
  <si>
    <t>Chandigarh</t>
  </si>
  <si>
    <t>Dadra and Nagar Haveli and Daman and Diu</t>
  </si>
  <si>
    <t>Andaman and Nicobar Islands</t>
  </si>
  <si>
    <t>Ladakh</t>
  </si>
  <si>
    <t>Lakshadweep</t>
  </si>
  <si>
    <t>Telangana</t>
  </si>
  <si>
    <t>State /UT</t>
  </si>
  <si>
    <t>Total No. of Beds</t>
  </si>
  <si>
    <t>PHC</t>
  </si>
  <si>
    <t xml:space="preserve">CHC </t>
  </si>
  <si>
    <t>SUB DISTRICT/ SUB DIVISIONAL HOSPITAL</t>
  </si>
  <si>
    <t>DISTRICT HOSPITAL</t>
  </si>
  <si>
    <t>MEDICAL COLLEGE</t>
  </si>
  <si>
    <t>Beds per 1 Lakh Population</t>
  </si>
  <si>
    <t>PHC per 1 Lakh Population</t>
  </si>
  <si>
    <t>District Hospitals per 1 Lakh Population</t>
  </si>
  <si>
    <t>State Category</t>
  </si>
  <si>
    <t>Healthcare Adequacy Level</t>
  </si>
  <si>
    <t>Beds per Lakh Rank</t>
  </si>
  <si>
    <t>Underserved Status</t>
  </si>
  <si>
    <t>Region</t>
  </si>
  <si>
    <t>Central</t>
  </si>
  <si>
    <t>North</t>
  </si>
  <si>
    <t>South</t>
  </si>
  <si>
    <t>East</t>
  </si>
  <si>
    <t>West</t>
  </si>
  <si>
    <t>North-East</t>
  </si>
  <si>
    <t>UT / Islands</t>
  </si>
  <si>
    <t>count</t>
  </si>
  <si>
    <t>Medium</t>
  </si>
  <si>
    <t>Low</t>
  </si>
  <si>
    <t>High</t>
  </si>
  <si>
    <t>(blank)</t>
  </si>
  <si>
    <t>Grand Total</t>
  </si>
  <si>
    <t>Average of Beds per 1 Lakh Population</t>
  </si>
  <si>
    <t>Column Labels</t>
  </si>
  <si>
    <t>UT / Small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</si>
</sst>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58956692913385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population_india_census2011!$I$1</c:f>
              <c:strCache>
                <c:ptCount val="1"/>
                <c:pt idx="0">
                  <c:v>Beds per 1 Lakh Population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population_india_census2011!$A$2:$A$37</c:f>
              <c:strCache>
                <c:ptCount val="36"/>
                <c:pt idx="0">
                  <c:v>Bihar</c:v>
                </c:pt>
                <c:pt idx="1">
                  <c:v>Jharkhand</c:v>
                </c:pt>
                <c:pt idx="2">
                  <c:v>Uttar Pradesh</c:v>
                </c:pt>
                <c:pt idx="3">
                  <c:v>Maharashtra</c:v>
                </c:pt>
                <c:pt idx="4">
                  <c:v>Punjab</c:v>
                </c:pt>
                <c:pt idx="5">
                  <c:v>Haryana</c:v>
                </c:pt>
                <c:pt idx="6">
                  <c:v>Telangana</c:v>
                </c:pt>
                <c:pt idx="7">
                  <c:v>Odisha</c:v>
                </c:pt>
                <c:pt idx="8">
                  <c:v>West Bengal</c:v>
                </c:pt>
                <c:pt idx="9">
                  <c:v>Madhya Pradesh</c:v>
                </c:pt>
                <c:pt idx="10">
                  <c:v>Andhra Pradesh</c:v>
                </c:pt>
                <c:pt idx="11">
                  <c:v>Assam</c:v>
                </c:pt>
                <c:pt idx="12">
                  <c:v>Gujarat</c:v>
                </c:pt>
                <c:pt idx="13">
                  <c:v>Chhattisgarh</c:v>
                </c:pt>
                <c:pt idx="14">
                  <c:v>Uttarakhand</c:v>
                </c:pt>
                <c:pt idx="15">
                  <c:v>Karnataka</c:v>
                </c:pt>
                <c:pt idx="16">
                  <c:v>Rajasthan</c:v>
                </c:pt>
                <c:pt idx="17">
                  <c:v>Tamil Nadu</c:v>
                </c:pt>
                <c:pt idx="18">
                  <c:v>Jammu and Kashmir</c:v>
                </c:pt>
                <c:pt idx="19">
                  <c:v>Himachal Pradesh</c:v>
                </c:pt>
                <c:pt idx="20">
                  <c:v>Tripura</c:v>
                </c:pt>
                <c:pt idx="21">
                  <c:v>Meghalaya</c:v>
                </c:pt>
                <c:pt idx="22">
                  <c:v>Manipur</c:v>
                </c:pt>
                <c:pt idx="23">
                  <c:v>Nagaland</c:v>
                </c:pt>
                <c:pt idx="24">
                  <c:v>Goa</c:v>
                </c:pt>
                <c:pt idx="25">
                  <c:v>Arunachal Pradesh</c:v>
                </c:pt>
                <c:pt idx="26">
                  <c:v>Mizoram</c:v>
                </c:pt>
                <c:pt idx="27">
                  <c:v>Sikkim</c:v>
                </c:pt>
                <c:pt idx="28">
                  <c:v>Kerala</c:v>
                </c:pt>
                <c:pt idx="29">
                  <c:v>Delhi</c:v>
                </c:pt>
                <c:pt idx="30">
                  <c:v>Puducherry</c:v>
                </c:pt>
                <c:pt idx="31">
                  <c:v>Chandigarh</c:v>
                </c:pt>
                <c:pt idx="32">
                  <c:v>Dadra and Nagar Haveli and Daman and Diu</c:v>
                </c:pt>
                <c:pt idx="33">
                  <c:v>Andaman and Nicobar Islands</c:v>
                </c:pt>
                <c:pt idx="34">
                  <c:v>Ladakh</c:v>
                </c:pt>
                <c:pt idx="35">
                  <c:v>Lakshadweep</c:v>
                </c:pt>
              </c:strCache>
            </c:strRef>
          </c:cat>
          <c:val>
            <c:numRef>
              <c:f>population_india_census2011!$I$2:$I$37</c:f>
              <c:numCache>
                <c:formatCode>0.000</c:formatCode>
                <c:ptCount val="36"/>
                <c:pt idx="0">
                  <c:v>26.820506221300761</c:v>
                </c:pt>
                <c:pt idx="1">
                  <c:v>34.936804852314474</c:v>
                </c:pt>
                <c:pt idx="2">
                  <c:v>38.657772394548942</c:v>
                </c:pt>
                <c:pt idx="3">
                  <c:v>40.303687497749152</c:v>
                </c:pt>
                <c:pt idx="4">
                  <c:v>54.063429570010648</c:v>
                </c:pt>
                <c:pt idx="5">
                  <c:v>55.815321420121649</c:v>
                </c:pt>
                <c:pt idx="6">
                  <c:v>61.742090273152463</c:v>
                </c:pt>
                <c:pt idx="7">
                  <c:v>62.695629016840769</c:v>
                </c:pt>
                <c:pt idx="8">
                  <c:v>70.818088609490005</c:v>
                </c:pt>
                <c:pt idx="9">
                  <c:v>70.842985818088195</c:v>
                </c:pt>
                <c:pt idx="10">
                  <c:v>71.998962908340971</c:v>
                </c:pt>
                <c:pt idx="11">
                  <c:v>74.49950611390733</c:v>
                </c:pt>
                <c:pt idx="12">
                  <c:v>76.501051659892639</c:v>
                </c:pt>
                <c:pt idx="13">
                  <c:v>79.741014338585273</c:v>
                </c:pt>
                <c:pt idx="14">
                  <c:v>91.272392272601266</c:v>
                </c:pt>
                <c:pt idx="15">
                  <c:v>91.705913140908365</c:v>
                </c:pt>
                <c:pt idx="16">
                  <c:v>97.436211419379262</c:v>
                </c:pt>
                <c:pt idx="17">
                  <c:v>113.88965006598332</c:v>
                </c:pt>
                <c:pt idx="18">
                  <c:v>114.17594736852404</c:v>
                </c:pt>
                <c:pt idx="19">
                  <c:v>148.51552937810524</c:v>
                </c:pt>
                <c:pt idx="20">
                  <c:v>120.71584632968029</c:v>
                </c:pt>
                <c:pt idx="21">
                  <c:v>154.64009607369874</c:v>
                </c:pt>
                <c:pt idx="22">
                  <c:v>108.73836266091915</c:v>
                </c:pt>
                <c:pt idx="23">
                  <c:v>103.5126575560702</c:v>
                </c:pt>
                <c:pt idx="24">
                  <c:v>177.43710341470438</c:v>
                </c:pt>
                <c:pt idx="25">
                  <c:v>180.09332765784001</c:v>
                </c:pt>
                <c:pt idx="26">
                  <c:v>215.82091239019837</c:v>
                </c:pt>
                <c:pt idx="27">
                  <c:v>112.18896224391027</c:v>
                </c:pt>
                <c:pt idx="28">
                  <c:v>127.91990052344094</c:v>
                </c:pt>
                <c:pt idx="29">
                  <c:v>132.78578951403273</c:v>
                </c:pt>
                <c:pt idx="30">
                  <c:v>396.80981575427921</c:v>
                </c:pt>
                <c:pt idx="31">
                  <c:v>366.28926050499786</c:v>
                </c:pt>
                <c:pt idx="32">
                  <c:v>211.34791485990945</c:v>
                </c:pt>
                <c:pt idx="33">
                  <c:v>357.34836999219613</c:v>
                </c:pt>
                <c:pt idx="34">
                  <c:v>321.16788321167883</c:v>
                </c:pt>
                <c:pt idx="35">
                  <c:v>387.75921703658895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D-471C-83A3-41EF2D55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929104"/>
        <c:axId val="1625931984"/>
      </c:barChart>
      <c:catAx>
        <c:axId val="162592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31984"/>
        <c:crosses val="autoZero"/>
        <c:auto val="1"/>
        <c:lblAlgn val="ctr"/>
        <c:lblOffset val="100"/>
        <c:noMultiLvlLbl val="0"/>
      </c:catAx>
      <c:valAx>
        <c:axId val="162593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92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Beds per Lakh vs PHC per Lakh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population_india_census2011!$J$1</c:f>
              <c:strCache>
                <c:ptCount val="1"/>
                <c:pt idx="0">
                  <c:v>PHC per 1 Lakh Population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population_india_census2011!$I$2:$I$37</c:f>
              <c:numCache>
                <c:formatCode>0.000</c:formatCode>
                <c:ptCount val="36"/>
                <c:pt idx="0">
                  <c:v>26.820506221300761</c:v>
                </c:pt>
                <c:pt idx="1">
                  <c:v>34.936804852314474</c:v>
                </c:pt>
                <c:pt idx="2">
                  <c:v>38.657772394548942</c:v>
                </c:pt>
                <c:pt idx="3">
                  <c:v>40.303687497749152</c:v>
                </c:pt>
                <c:pt idx="4">
                  <c:v>54.063429570010648</c:v>
                </c:pt>
                <c:pt idx="5">
                  <c:v>55.815321420121649</c:v>
                </c:pt>
                <c:pt idx="6">
                  <c:v>61.742090273152463</c:v>
                </c:pt>
                <c:pt idx="7">
                  <c:v>62.695629016840769</c:v>
                </c:pt>
                <c:pt idx="8">
                  <c:v>70.818088609490005</c:v>
                </c:pt>
                <c:pt idx="9">
                  <c:v>70.842985818088195</c:v>
                </c:pt>
                <c:pt idx="10">
                  <c:v>71.998962908340971</c:v>
                </c:pt>
                <c:pt idx="11">
                  <c:v>74.49950611390733</c:v>
                </c:pt>
                <c:pt idx="12">
                  <c:v>76.501051659892639</c:v>
                </c:pt>
                <c:pt idx="13">
                  <c:v>79.741014338585273</c:v>
                </c:pt>
                <c:pt idx="14">
                  <c:v>91.272392272601266</c:v>
                </c:pt>
                <c:pt idx="15">
                  <c:v>91.705913140908365</c:v>
                </c:pt>
                <c:pt idx="16">
                  <c:v>97.436211419379262</c:v>
                </c:pt>
                <c:pt idx="17">
                  <c:v>113.88965006598332</c:v>
                </c:pt>
                <c:pt idx="18">
                  <c:v>114.17594736852404</c:v>
                </c:pt>
                <c:pt idx="19">
                  <c:v>148.51552937810524</c:v>
                </c:pt>
                <c:pt idx="20">
                  <c:v>120.71584632968029</c:v>
                </c:pt>
                <c:pt idx="21">
                  <c:v>154.64009607369874</c:v>
                </c:pt>
                <c:pt idx="22">
                  <c:v>108.73836266091915</c:v>
                </c:pt>
                <c:pt idx="23">
                  <c:v>103.5126575560702</c:v>
                </c:pt>
                <c:pt idx="24">
                  <c:v>177.43710341470438</c:v>
                </c:pt>
                <c:pt idx="25">
                  <c:v>180.09332765784001</c:v>
                </c:pt>
                <c:pt idx="26">
                  <c:v>215.82091239019837</c:v>
                </c:pt>
                <c:pt idx="27">
                  <c:v>112.18896224391027</c:v>
                </c:pt>
                <c:pt idx="28">
                  <c:v>127.91990052344094</c:v>
                </c:pt>
                <c:pt idx="29">
                  <c:v>132.78578951403273</c:v>
                </c:pt>
                <c:pt idx="30">
                  <c:v>396.80981575427921</c:v>
                </c:pt>
                <c:pt idx="31">
                  <c:v>366.28926050499786</c:v>
                </c:pt>
                <c:pt idx="32">
                  <c:v>211.34791485990945</c:v>
                </c:pt>
                <c:pt idx="33">
                  <c:v>357.34836999219613</c:v>
                </c:pt>
                <c:pt idx="34">
                  <c:v>321.16788321167883</c:v>
                </c:pt>
                <c:pt idx="35">
                  <c:v>387.75921703658895</c:v>
                </c:pt>
              </c:numCache>
            </c:numRef>
          </c:xVal>
          <c:yVal>
            <c:numRef>
              <c:f>population_india_census2011!$J$2:$J$37</c:f>
              <c:numCache>
                <c:formatCode>0.000</c:formatCode>
                <c:ptCount val="36"/>
                <c:pt idx="0">
                  <c:v>5.3756286824641499</c:v>
                </c:pt>
                <c:pt idx="1">
                  <c:v>3.7255820532316255</c:v>
                </c:pt>
                <c:pt idx="2">
                  <c:v>6.7803619797437831</c:v>
                </c:pt>
                <c:pt idx="3">
                  <c:v>16.263500313723775</c:v>
                </c:pt>
                <c:pt idx="4">
                  <c:v>6.0843435638494547</c:v>
                </c:pt>
                <c:pt idx="5">
                  <c:v>8.6109432268639967</c:v>
                </c:pt>
                <c:pt idx="6">
                  <c:v>13.318601927329114</c:v>
                </c:pt>
                <c:pt idx="7">
                  <c:v>3.5760046798251253</c:v>
                </c:pt>
                <c:pt idx="8">
                  <c:v>8.3702072552058109</c:v>
                </c:pt>
                <c:pt idx="9">
                  <c:v>11.896433450628404</c:v>
                </c:pt>
                <c:pt idx="10">
                  <c:v>17.572628235256104</c:v>
                </c:pt>
                <c:pt idx="11">
                  <c:v>10.145622692559817</c:v>
                </c:pt>
                <c:pt idx="12">
                  <c:v>15.589093339522643</c:v>
                </c:pt>
                <c:pt idx="13">
                  <c:v>19.63186975493398</c:v>
                </c:pt>
                <c:pt idx="14">
                  <c:v>20.929396055557383</c:v>
                </c:pt>
                <c:pt idx="15">
                  <c:v>24.735128139241223</c:v>
                </c:pt>
                <c:pt idx="16">
                  <c:v>20.228032332815992</c:v>
                </c:pt>
                <c:pt idx="17">
                  <c:v>13.895235881504755</c:v>
                </c:pt>
                <c:pt idx="18">
                  <c:v>32.240887608347315</c:v>
                </c:pt>
                <c:pt idx="19">
                  <c:v>14.640324377145243</c:v>
                </c:pt>
                <c:pt idx="20">
                  <c:v>24.986955339491882</c:v>
                </c:pt>
                <c:pt idx="21">
                  <c:v>37.985917235191479</c:v>
                </c:pt>
                <c:pt idx="22">
                  <c:v>16.339932850656904</c:v>
                </c:pt>
                <c:pt idx="23">
                  <c:v>35.683562614543732</c:v>
                </c:pt>
                <c:pt idx="24">
                  <c:v>12.5467503573767</c:v>
                </c:pt>
                <c:pt idx="25">
                  <c:v>28.690630449503409</c:v>
                </c:pt>
                <c:pt idx="26">
                  <c:v>59.697085141714496</c:v>
                </c:pt>
                <c:pt idx="27">
                  <c:v>42.091333279832028</c:v>
                </c:pt>
                <c:pt idx="28">
                  <c:v>17.143595588836408</c:v>
                </c:pt>
                <c:pt idx="29">
                  <c:v>7.1479879515897751E-2</c:v>
                </c:pt>
                <c:pt idx="30">
                  <c:v>14.824276234762046</c:v>
                </c:pt>
                <c:pt idx="31">
                  <c:v>2.1791652849495478</c:v>
                </c:pt>
                <c:pt idx="32">
                  <c:v>30.21694743958318</c:v>
                </c:pt>
                <c:pt idx="33">
                  <c:v>60.433915513386111</c:v>
                </c:pt>
                <c:pt idx="34">
                  <c:v>116.78832116788323</c:v>
                </c:pt>
                <c:pt idx="35">
                  <c:v>62.041474725854236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B0-4A1F-B630-07EE347CE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277264"/>
        <c:axId val="1832277744"/>
      </c:scatterChart>
      <c:valAx>
        <c:axId val="183227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Beds per 1 Lakh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77744"/>
        <c:crosses val="autoZero"/>
        <c:crossBetween val="midCat"/>
      </c:valAx>
      <c:valAx>
        <c:axId val="183227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PHC per 1 Lakh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27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Healthcare Adequacy Levels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population_india_census2011!$J$55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CB-4937-92CC-DF2015D33A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CB-4937-92CC-DF2015D33A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CB-4937-92CC-DF2015D33A91}"/>
              </c:ext>
            </c:extLst>
          </c:dPt>
          <c:cat>
            <c:strRef>
              <c:f>population_india_census2011!$I$56:$I$58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population_india_census2011!$J$56:$J$58</c:f>
              <c:numCache>
                <c:formatCode>General</c:formatCode>
                <c:ptCount val="3"/>
                <c:pt idx="0">
                  <c:v>3</c:v>
                </c:pt>
                <c:pt idx="1">
                  <c:v>14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1-43B3-9A65-01603A58B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[merged_population_healthcare.xlsx]Sheet2!PivotTable1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Beds per Lakh Population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Sheet2!$B$5</c:f>
              <c:numCache>
                <c:formatCode>General</c:formatCode>
                <c:ptCount val="1"/>
                <c:pt idx="0">
                  <c:v>63.080590850407475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D-46A8-9F21-08374F21215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Sheet2!$C$5</c:f>
              <c:numCache>
                <c:formatCode>General</c:formatCode>
                <c:ptCount val="1"/>
                <c:pt idx="0">
                  <c:v>48.817757174986497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CD-46A8-9F21-08374F21215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Sheet2!$D$5</c:f>
              <c:numCache>
                <c:formatCode>General</c:formatCode>
                <c:ptCount val="1"/>
                <c:pt idx="0">
                  <c:v>99.438068253899246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CD-46A8-9F21-08374F21215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North-East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Sheet2!$E$5</c:f>
              <c:numCache>
                <c:formatCode>General</c:formatCode>
                <c:ptCount val="1"/>
                <c:pt idx="0">
                  <c:v>142.24430927318812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CD-46A8-9F21-08374F212154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Sheet2!$F$5</c:f>
              <c:numCache>
                <c:formatCode>General</c:formatCode>
                <c:ptCount val="1"/>
                <c:pt idx="0">
                  <c:v>93.451303382365211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CD-46A8-9F21-08374F212154}"/>
            </c:ext>
          </c:extLst>
        </c:ser>
        <c:ser>
          <c:idx val="5"/>
          <c:order val="5"/>
          <c:tx>
            <c:strRef>
              <c:f>Sheet2!$G$3:$G$4</c:f>
              <c:strCache>
                <c:ptCount val="1"/>
                <c:pt idx="0">
                  <c:v>UT / Islands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Sheet2!$G$5</c:f>
              <c:numCache>
                <c:formatCode>General</c:formatCode>
                <c:ptCount val="1"/>
                <c:pt idx="0">
                  <c:v>302.17456678193685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CD-46A8-9F21-08374F212154}"/>
            </c:ext>
          </c:extLst>
        </c:ser>
        <c:ser>
          <c:idx val="6"/>
          <c:order val="6"/>
          <c:tx>
            <c:strRef>
              <c:f>Sheet2!$H$3:$H$4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Sheet2!$H$5</c:f>
              <c:numCache>
                <c:formatCode>General</c:formatCode>
                <c:ptCount val="1"/>
                <c:pt idx="0">
                  <c:v>97.919513497931362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DCD-46A8-9F21-08374F212154}"/>
            </c:ext>
          </c:extLst>
        </c:ser>
        <c:ser>
          <c:idx val="7"/>
          <c:order val="7"/>
          <c:tx>
            <c:strRef>
              <c:f>Sheet2!$I$3:$I$4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Sheet2!$I$5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0-1DCD-46A8-9F21-08374F212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132992"/>
        <c:axId val="2032132512"/>
      </c:barChart>
      <c:catAx>
        <c:axId val="203213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32512"/>
        <c:crosses val="autoZero"/>
        <c:auto val="1"/>
        <c:lblAlgn val="ctr"/>
        <c:lblOffset val="100"/>
        <c:noMultiLvlLbl val="0"/>
      </c:catAx>
      <c:valAx>
        <c:axId val="203213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3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129989</xdr:rowOff>
    </xdr:from>
    <xdr:to>
      <xdr:col>2</xdr:col>
      <xdr:colOff>1171282</xdr:colOff>
      <xdr:row>68</xdr:row>
      <xdr:rowOff>4483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8A63E7-B997-F0AC-D251-D1C235615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179295</xdr:colOff>
      <xdr:row>52</xdr:row>
      <xdr:rowOff>51548</xdr:rowOff>
    </xdr:from>
    <xdr:to>
      <xdr:col>6</xdr:col>
      <xdr:colOff>1098177</xdr:colOff>
      <xdr:row>67</xdr:row>
      <xdr:rowOff>105336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656215-C588-C8A4-3D01-396AB9558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156883</xdr:colOff>
      <xdr:row>60</xdr:row>
      <xdr:rowOff>62753</xdr:rowOff>
    </xdr:from>
    <xdr:to>
      <xdr:col>9</xdr:col>
      <xdr:colOff>1580030</xdr:colOff>
      <xdr:row>75</xdr:row>
      <xdr:rowOff>116541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9B0197-B353-60B8-59F4-951B6618E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192122</xdr:colOff>
      <xdr:row>6</xdr:row>
      <xdr:rowOff>74822</xdr:rowOff>
    </xdr:from>
    <xdr:to>
      <xdr:col>7</xdr:col>
      <xdr:colOff>659049</xdr:colOff>
      <xdr:row>21</xdr:row>
      <xdr:rowOff>74822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FEC19-48C0-6B38-042A-2922D016D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i-data-dashboard\data\raw\Healthcare.xlsx" TargetMode="External"/><Relationship Id="rId1" Type="http://schemas.openxmlformats.org/officeDocument/2006/relationships/externalLinkPath" Target="/ai-data-dashboard/data/raw/Healthc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_Session_266_AU_911_C_to_D_ii"/>
    </sheetNames>
    <sheetDataSet>
      <sheetData sheetId="0">
        <row r="1">
          <cell r="B1" t="str">
            <v>State/UT</v>
          </cell>
          <cell r="C1" t="str">
            <v>PHC</v>
          </cell>
          <cell r="D1" t="str">
            <v>CHC</v>
          </cell>
          <cell r="E1" t="str">
            <v>SUB DISTRICT/ SUB DIVISIONAL HOSPITAL</v>
          </cell>
          <cell r="F1" t="str">
            <v>DISTRICT HOSPITAL</v>
          </cell>
          <cell r="G1" t="str">
            <v>MEDICAL COLLEGE</v>
          </cell>
        </row>
        <row r="2">
          <cell r="B2" t="str">
            <v>Andhra Pradesh</v>
          </cell>
          <cell r="C2">
            <v>8712</v>
          </cell>
          <cell r="D2">
            <v>6400</v>
          </cell>
          <cell r="E2">
            <v>5400</v>
          </cell>
          <cell r="F2">
            <v>2600</v>
          </cell>
          <cell r="G2">
            <v>12583</v>
          </cell>
        </row>
        <row r="3">
          <cell r="B3" t="str">
            <v>Arunachal Pradesh</v>
          </cell>
          <cell r="C3">
            <v>397</v>
          </cell>
          <cell r="D3">
            <v>594</v>
          </cell>
          <cell r="E3" t="str">
            <v>NA</v>
          </cell>
          <cell r="F3">
            <v>1151</v>
          </cell>
          <cell r="G3">
            <v>350</v>
          </cell>
        </row>
        <row r="4">
          <cell r="B4" t="str">
            <v>Assam</v>
          </cell>
          <cell r="C4">
            <v>3166</v>
          </cell>
          <cell r="D4">
            <v>6218</v>
          </cell>
          <cell r="E4">
            <v>844</v>
          </cell>
          <cell r="F4">
            <v>3677</v>
          </cell>
          <cell r="G4">
            <v>9343</v>
          </cell>
        </row>
        <row r="5">
          <cell r="B5" t="str">
            <v>Bihar</v>
          </cell>
          <cell r="C5">
            <v>5596</v>
          </cell>
          <cell r="D5">
            <v>8039</v>
          </cell>
          <cell r="E5">
            <v>2459</v>
          </cell>
          <cell r="F5">
            <v>4575</v>
          </cell>
          <cell r="G5">
            <v>7251</v>
          </cell>
        </row>
        <row r="6">
          <cell r="B6" t="str">
            <v>Chhattisgarh</v>
          </cell>
          <cell r="C6">
            <v>5015</v>
          </cell>
          <cell r="D6">
            <v>6726</v>
          </cell>
          <cell r="E6">
            <v>629</v>
          </cell>
          <cell r="F6">
            <v>3542</v>
          </cell>
          <cell r="G6">
            <v>4458</v>
          </cell>
        </row>
        <row r="7">
          <cell r="B7" t="str">
            <v>Goa</v>
          </cell>
          <cell r="C7">
            <v>183</v>
          </cell>
          <cell r="D7">
            <v>210</v>
          </cell>
          <cell r="E7">
            <v>253</v>
          </cell>
          <cell r="F7">
            <v>600</v>
          </cell>
          <cell r="G7">
            <v>1342</v>
          </cell>
        </row>
        <row r="8">
          <cell r="B8" t="str">
            <v>Gujarat</v>
          </cell>
          <cell r="C8">
            <v>9422</v>
          </cell>
          <cell r="D8">
            <v>11167</v>
          </cell>
          <cell r="E8">
            <v>4492</v>
          </cell>
          <cell r="F8">
            <v>3257</v>
          </cell>
          <cell r="G8">
            <v>17899</v>
          </cell>
        </row>
        <row r="9">
          <cell r="B9" t="str">
            <v>Haryana</v>
          </cell>
          <cell r="C9">
            <v>2183</v>
          </cell>
          <cell r="D9">
            <v>3079</v>
          </cell>
          <cell r="E9">
            <v>1581</v>
          </cell>
          <cell r="F9">
            <v>3647</v>
          </cell>
          <cell r="G9">
            <v>3660</v>
          </cell>
        </row>
        <row r="10">
          <cell r="B10" t="str">
            <v>Himachal Pradesh</v>
          </cell>
          <cell r="C10">
            <v>1005</v>
          </cell>
          <cell r="D10">
            <v>969</v>
          </cell>
          <cell r="E10">
            <v>3665</v>
          </cell>
          <cell r="F10">
            <v>1924</v>
          </cell>
          <cell r="G10">
            <v>2632</v>
          </cell>
        </row>
        <row r="11">
          <cell r="B11" t="str">
            <v>Jharkhand</v>
          </cell>
          <cell r="C11">
            <v>1229</v>
          </cell>
          <cell r="D11">
            <v>3647</v>
          </cell>
          <cell r="E11">
            <v>534</v>
          </cell>
          <cell r="F11">
            <v>3215</v>
          </cell>
          <cell r="G11">
            <v>2900</v>
          </cell>
        </row>
        <row r="12">
          <cell r="B12" t="str">
            <v>Karnataka</v>
          </cell>
          <cell r="C12">
            <v>15112</v>
          </cell>
          <cell r="D12">
            <v>6500</v>
          </cell>
          <cell r="E12">
            <v>14530</v>
          </cell>
          <cell r="F12">
            <v>6174</v>
          </cell>
          <cell r="G12">
            <v>13712</v>
          </cell>
        </row>
        <row r="13">
          <cell r="B13" t="str">
            <v>Kerala</v>
          </cell>
          <cell r="C13">
            <v>5727</v>
          </cell>
          <cell r="D13">
            <v>6371</v>
          </cell>
          <cell r="E13">
            <v>8347</v>
          </cell>
          <cell r="F13">
            <v>15113</v>
          </cell>
          <cell r="G13">
            <v>7175</v>
          </cell>
        </row>
        <row r="14">
          <cell r="B14" t="str">
            <v>Madhya Pradesh</v>
          </cell>
          <cell r="C14">
            <v>8640</v>
          </cell>
          <cell r="D14">
            <v>10590</v>
          </cell>
          <cell r="E14">
            <v>9721</v>
          </cell>
          <cell r="F14">
            <v>16650</v>
          </cell>
          <cell r="G14">
            <v>5850</v>
          </cell>
        </row>
        <row r="15">
          <cell r="B15" t="str">
            <v>Maharashtra</v>
          </cell>
          <cell r="C15">
            <v>18276</v>
          </cell>
          <cell r="D15">
            <v>15004</v>
          </cell>
          <cell r="E15">
            <v>7903</v>
          </cell>
          <cell r="F15">
            <v>4108</v>
          </cell>
          <cell r="G15">
            <v>16998</v>
          </cell>
        </row>
        <row r="16">
          <cell r="B16" t="str">
            <v>Manipur</v>
          </cell>
          <cell r="C16">
            <v>420</v>
          </cell>
          <cell r="D16">
            <v>365</v>
          </cell>
          <cell r="E16">
            <v>10</v>
          </cell>
          <cell r="F16">
            <v>551</v>
          </cell>
          <cell r="G16">
            <v>1449</v>
          </cell>
        </row>
        <row r="17">
          <cell r="B17" t="str">
            <v>Meghalaya</v>
          </cell>
          <cell r="C17">
            <v>1127</v>
          </cell>
          <cell r="D17">
            <v>867</v>
          </cell>
          <cell r="E17">
            <v>40</v>
          </cell>
          <cell r="F17">
            <v>1960</v>
          </cell>
          <cell r="G17">
            <v>594</v>
          </cell>
        </row>
        <row r="18">
          <cell r="B18" t="str">
            <v>Mizoram</v>
          </cell>
          <cell r="C18">
            <v>655</v>
          </cell>
          <cell r="D18">
            <v>240</v>
          </cell>
          <cell r="E18">
            <v>70</v>
          </cell>
          <cell r="F18">
            <v>903</v>
          </cell>
          <cell r="G18">
            <v>500</v>
          </cell>
        </row>
        <row r="19">
          <cell r="B19" t="str">
            <v>Nagaland</v>
          </cell>
          <cell r="C19">
            <v>706</v>
          </cell>
          <cell r="D19">
            <v>325</v>
          </cell>
          <cell r="E19" t="str">
            <v>NA</v>
          </cell>
          <cell r="F19">
            <v>1017</v>
          </cell>
          <cell r="G19" t="str">
            <v>NA</v>
          </cell>
        </row>
        <row r="20">
          <cell r="B20" t="str">
            <v>Odisha</v>
          </cell>
          <cell r="C20">
            <v>1501</v>
          </cell>
          <cell r="D20">
            <v>6290</v>
          </cell>
          <cell r="E20">
            <v>1946</v>
          </cell>
          <cell r="F20">
            <v>7288</v>
          </cell>
          <cell r="G20">
            <v>9291</v>
          </cell>
        </row>
        <row r="21">
          <cell r="B21" t="str">
            <v>Punjab</v>
          </cell>
          <cell r="C21">
            <v>1688</v>
          </cell>
          <cell r="D21">
            <v>3711</v>
          </cell>
          <cell r="E21">
            <v>2509</v>
          </cell>
          <cell r="F21">
            <v>3931</v>
          </cell>
          <cell r="G21">
            <v>3160</v>
          </cell>
        </row>
        <row r="22">
          <cell r="B22" t="str">
            <v>Rajasthan</v>
          </cell>
          <cell r="C22">
            <v>13866</v>
          </cell>
          <cell r="D22">
            <v>23820</v>
          </cell>
          <cell r="E22">
            <v>2500</v>
          </cell>
          <cell r="F22">
            <v>9474</v>
          </cell>
          <cell r="G22">
            <v>17131</v>
          </cell>
        </row>
        <row r="23">
          <cell r="B23" t="str">
            <v>Sikkim</v>
          </cell>
          <cell r="C23">
            <v>257</v>
          </cell>
          <cell r="D23">
            <v>28</v>
          </cell>
          <cell r="E23" t="str">
            <v>NA</v>
          </cell>
          <cell r="F23">
            <v>400</v>
          </cell>
          <cell r="G23" t="str">
            <v>NA</v>
          </cell>
        </row>
        <row r="24">
          <cell r="B24" t="str">
            <v>Tamil Nadu</v>
          </cell>
          <cell r="C24">
            <v>10025</v>
          </cell>
          <cell r="D24">
            <v>12582</v>
          </cell>
          <cell r="E24">
            <v>21978</v>
          </cell>
          <cell r="F24">
            <v>7695</v>
          </cell>
          <cell r="G24">
            <v>29888</v>
          </cell>
        </row>
        <row r="25">
          <cell r="B25" t="str">
            <v>Telangana</v>
          </cell>
          <cell r="C25">
            <v>4662</v>
          </cell>
          <cell r="D25">
            <v>3320</v>
          </cell>
          <cell r="E25">
            <v>5400</v>
          </cell>
          <cell r="F25">
            <v>2270</v>
          </cell>
          <cell r="G25">
            <v>5960</v>
          </cell>
        </row>
        <row r="26">
          <cell r="B26" t="str">
            <v>Tripura</v>
          </cell>
          <cell r="C26">
            <v>918</v>
          </cell>
          <cell r="D26">
            <v>630</v>
          </cell>
          <cell r="E26">
            <v>900</v>
          </cell>
          <cell r="F26">
            <v>1260</v>
          </cell>
          <cell r="G26">
            <v>727</v>
          </cell>
        </row>
        <row r="27">
          <cell r="B27" t="str">
            <v>Uttarakhand</v>
          </cell>
          <cell r="C27">
            <v>2111</v>
          </cell>
          <cell r="D27">
            <v>1699</v>
          </cell>
          <cell r="E27">
            <v>2035</v>
          </cell>
          <cell r="F27">
            <v>1511</v>
          </cell>
          <cell r="G27">
            <v>1850</v>
          </cell>
        </row>
        <row r="28">
          <cell r="B28" t="str">
            <v>Uttar Pradesh</v>
          </cell>
          <cell r="C28">
            <v>13548</v>
          </cell>
          <cell r="D28">
            <v>26157</v>
          </cell>
          <cell r="E28" t="str">
            <v>NA</v>
          </cell>
          <cell r="F28">
            <v>22812</v>
          </cell>
          <cell r="G28">
            <v>14726</v>
          </cell>
        </row>
        <row r="29">
          <cell r="B29" t="str">
            <v>West Bengal</v>
          </cell>
          <cell r="C29">
            <v>7640</v>
          </cell>
          <cell r="D29">
            <v>11205</v>
          </cell>
          <cell r="E29">
            <v>13110</v>
          </cell>
          <cell r="F29">
            <v>7599</v>
          </cell>
          <cell r="G29">
            <v>25086</v>
          </cell>
        </row>
        <row r="30">
          <cell r="B30" t="str">
            <v>Andaman and Nicobar Islands</v>
          </cell>
          <cell r="C30">
            <v>230</v>
          </cell>
          <cell r="D30">
            <v>210</v>
          </cell>
          <cell r="E30" t="str">
            <v>NA</v>
          </cell>
          <cell r="F30">
            <v>220</v>
          </cell>
          <cell r="G30">
            <v>700</v>
          </cell>
        </row>
        <row r="31">
          <cell r="B31" t="str">
            <v>Chandigarh</v>
          </cell>
          <cell r="C31">
            <v>23</v>
          </cell>
          <cell r="D31">
            <v>120</v>
          </cell>
          <cell r="E31">
            <v>100</v>
          </cell>
          <cell r="F31">
            <v>527</v>
          </cell>
          <cell r="G31">
            <v>3096</v>
          </cell>
        </row>
        <row r="32">
          <cell r="B32" t="str">
            <v>Dadra and Nagar Haveli and Daman and Diu</v>
          </cell>
          <cell r="C32">
            <v>177</v>
          </cell>
          <cell r="D32">
            <v>132</v>
          </cell>
          <cell r="E32">
            <v>100</v>
          </cell>
          <cell r="F32">
            <v>240</v>
          </cell>
          <cell r="G32">
            <v>589</v>
          </cell>
        </row>
        <row r="33">
          <cell r="B33" t="str">
            <v>Delhi</v>
          </cell>
          <cell r="C33">
            <v>12</v>
          </cell>
          <cell r="D33" t="str">
            <v>NA</v>
          </cell>
          <cell r="E33">
            <v>431</v>
          </cell>
          <cell r="F33">
            <v>9789</v>
          </cell>
          <cell r="G33">
            <v>12060</v>
          </cell>
        </row>
        <row r="34">
          <cell r="B34" t="str">
            <v>Jammu and Kashmir</v>
          </cell>
          <cell r="C34">
            <v>3955</v>
          </cell>
          <cell r="D34">
            <v>2769</v>
          </cell>
          <cell r="E34" t="str">
            <v>NA</v>
          </cell>
          <cell r="F34">
            <v>1862</v>
          </cell>
          <cell r="G34">
            <v>5420</v>
          </cell>
        </row>
        <row r="35">
          <cell r="B35" t="str">
            <v>Ladakh</v>
          </cell>
          <cell r="C35">
            <v>320</v>
          </cell>
          <cell r="D35">
            <v>190</v>
          </cell>
          <cell r="E35" t="str">
            <v>NA</v>
          </cell>
          <cell r="F35">
            <v>370</v>
          </cell>
          <cell r="G35" t="str">
            <v>NA</v>
          </cell>
        </row>
        <row r="36">
          <cell r="B36" t="str">
            <v>Lakshadweep</v>
          </cell>
          <cell r="C36">
            <v>40</v>
          </cell>
          <cell r="D36">
            <v>90</v>
          </cell>
          <cell r="E36">
            <v>70</v>
          </cell>
          <cell r="F36">
            <v>50</v>
          </cell>
          <cell r="G36" t="str">
            <v>NA</v>
          </cell>
        </row>
        <row r="37">
          <cell r="B37" t="str">
            <v>Puducherry</v>
          </cell>
          <cell r="C37">
            <v>185</v>
          </cell>
          <cell r="D37">
            <v>120</v>
          </cell>
          <cell r="E37" t="str">
            <v>NA</v>
          </cell>
          <cell r="F37">
            <v>1853</v>
          </cell>
          <cell r="G37">
            <v>2794</v>
          </cell>
        </row>
        <row r="38">
          <cell r="B38" t="str">
            <v>All India/Total</v>
          </cell>
          <cell r="C38">
            <v>148729</v>
          </cell>
          <cell r="D38">
            <v>180384</v>
          </cell>
          <cell r="E38">
            <v>111557</v>
          </cell>
          <cell r="F38">
            <v>153815</v>
          </cell>
          <cell r="G38">
            <v>224176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18.779313078703" createdVersion="8" refreshedVersion="8" minRefreshableVersion="3" recordCount="37" xr:uid="{AE8527BE-2982-41AD-987E-3951195CF73F}">
  <cacheSource type="worksheet">
    <worksheetSource ref="D1:P38" sheet="population_india_census2011"/>
  </cacheSource>
  <cacheFields count="13">
    <cacheField name="PHC" numFmtId="0">
      <sharedItems containsString="0" containsBlank="1" containsNumber="1" containsInteger="1" minValue="12" maxValue="18276"/>
    </cacheField>
    <cacheField name="CHC " numFmtId="0">
      <sharedItems containsBlank="1" containsMixedTypes="1" containsNumber="1" containsInteger="1" minValue="28" maxValue="26157"/>
    </cacheField>
    <cacheField name="SUB DISTRICT/ SUB DIVISIONAL HOSPITAL" numFmtId="0">
      <sharedItems containsBlank="1" containsMixedTypes="1" containsNumber="1" containsInteger="1" minValue="10" maxValue="21978"/>
    </cacheField>
    <cacheField name="DISTRICT HOSPITAL" numFmtId="0">
      <sharedItems containsString="0" containsBlank="1" containsNumber="1" containsInteger="1" minValue="50" maxValue="22812"/>
    </cacheField>
    <cacheField name="MEDICAL COLLEGE" numFmtId="0">
      <sharedItems containsBlank="1" containsMixedTypes="1" containsNumber="1" containsInteger="1" minValue="350" maxValue="29888"/>
    </cacheField>
    <cacheField name="Beds per 1 Lakh Population" numFmtId="0">
      <sharedItems containsString="0" containsBlank="1" containsNumber="1" minValue="26.820506221300761" maxValue="396.80981575427921"/>
    </cacheField>
    <cacheField name="PHC per 1 Lakh Population" numFmtId="0">
      <sharedItems containsString="0" containsBlank="1" containsNumber="1" minValue="7.1479879515897751E-2" maxValue="116.78832116788323"/>
    </cacheField>
    <cacheField name="District Hospitals per 1 Lakh Population" numFmtId="0">
      <sharedItems containsString="0" containsBlank="1" containsNumber="1" minValue="3.6556390506006382" maxValue="148.48315601629227"/>
    </cacheField>
    <cacheField name="State Category" numFmtId="0">
      <sharedItems containsBlank="1"/>
    </cacheField>
    <cacheField name="Healthcare Adequacy Level" numFmtId="0">
      <sharedItems containsBlank="1"/>
    </cacheField>
    <cacheField name="Beds per Lakh Rank" numFmtId="0">
      <sharedItems containsString="0" containsBlank="1" containsNumber="1" containsInteger="1" minValue="1" maxValue="36"/>
    </cacheField>
    <cacheField name="Underserved Status" numFmtId="0">
      <sharedItems containsBlank="1" count="3">
        <s v="Yes"/>
        <s v="No"/>
        <m/>
      </sharedItems>
    </cacheField>
    <cacheField name="Region" numFmtId="0">
      <sharedItems containsBlank="1" count="8">
        <s v="East"/>
        <s v="Central"/>
        <s v="West"/>
        <s v="North"/>
        <s v="South"/>
        <s v="UT / Islands"/>
        <s v="North-Ea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5596"/>
    <n v="8039"/>
    <n v="2459"/>
    <n v="4575"/>
    <n v="7251"/>
    <n v="26.820506221300761"/>
    <n v="5.3756286824641499"/>
    <n v="4.3948358152740319"/>
    <s v="Large Population State"/>
    <s v="Low"/>
    <n v="36"/>
    <x v="0"/>
    <x v="0"/>
  </r>
  <r>
    <n v="1229"/>
    <n v="3647"/>
    <n v="534"/>
    <n v="3215"/>
    <n v="2900"/>
    <n v="34.936804852314474"/>
    <n v="3.7255820532316255"/>
    <n v="9.7459286420990043"/>
    <s v="Large Population State"/>
    <s v="Low"/>
    <n v="35"/>
    <x v="0"/>
    <x v="0"/>
  </r>
  <r>
    <n v="13548"/>
    <n v="26157"/>
    <s v="NA"/>
    <n v="22812"/>
    <n v="14726"/>
    <n v="38.657772394548942"/>
    <n v="6.7803619797437831"/>
    <n v="11.416712244014999"/>
    <s v="Large Population State"/>
    <s v="Low"/>
    <n v="34"/>
    <x v="0"/>
    <x v="1"/>
  </r>
  <r>
    <n v="18276"/>
    <n v="15004"/>
    <n v="7903"/>
    <n v="4108"/>
    <n v="16998"/>
    <n v="40.303687497749152"/>
    <n v="16.263500313723775"/>
    <n v="3.6556390506006382"/>
    <s v="Large Population State"/>
    <s v="Medium"/>
    <n v="33"/>
    <x v="0"/>
    <x v="2"/>
  </r>
  <r>
    <n v="1688"/>
    <n v="3711"/>
    <n v="2509"/>
    <n v="3931"/>
    <n v="3160"/>
    <n v="54.063429570010648"/>
    <n v="6.0843435638494547"/>
    <n v="14.169167387139932"/>
    <s v="Large Population State"/>
    <s v="Medium"/>
    <n v="32"/>
    <x v="1"/>
    <x v="3"/>
  </r>
  <r>
    <n v="2183"/>
    <n v="3079"/>
    <n v="1581"/>
    <n v="3647"/>
    <n v="3660"/>
    <n v="55.815321420121649"/>
    <n v="8.6109432268639967"/>
    <n v="14.385758107362802"/>
    <s v="Large Population State"/>
    <s v="Medium"/>
    <n v="31"/>
    <x v="1"/>
    <x v="3"/>
  </r>
  <r>
    <n v="4662"/>
    <n v="3320"/>
    <n v="5400"/>
    <n v="2270"/>
    <n v="5960"/>
    <n v="61.742090273152463"/>
    <n v="13.318601927329114"/>
    <n v="6.4850335424789982"/>
    <s v="Large Population State"/>
    <s v="Medium"/>
    <n v="30"/>
    <x v="1"/>
    <x v="4"/>
  </r>
  <r>
    <n v="1501"/>
    <n v="6290"/>
    <n v="1946"/>
    <n v="7288"/>
    <n v="9291"/>
    <n v="62.695629016840769"/>
    <n v="3.5760046798251253"/>
    <n v="17.363039378124924"/>
    <s v="Large Population State"/>
    <s v="Medium"/>
    <n v="29"/>
    <x v="1"/>
    <x v="0"/>
  </r>
  <r>
    <n v="7640"/>
    <n v="11205"/>
    <n v="13110"/>
    <n v="7599"/>
    <n v="25086"/>
    <n v="70.818088609490005"/>
    <n v="8.3702072552058109"/>
    <n v="8.3252886037053617"/>
    <s v="Large Population State"/>
    <s v="Medium"/>
    <n v="28"/>
    <x v="1"/>
    <x v="0"/>
  </r>
  <r>
    <n v="8640"/>
    <n v="10590"/>
    <n v="9721"/>
    <n v="16650"/>
    <n v="5850"/>
    <n v="70.842985818088195"/>
    <n v="11.896433450628404"/>
    <n v="22.925418628815155"/>
    <s v="Large Population State"/>
    <s v="Medium"/>
    <n v="27"/>
    <x v="1"/>
    <x v="1"/>
  </r>
  <r>
    <n v="8712"/>
    <n v="6400"/>
    <n v="5400"/>
    <n v="2600"/>
    <n v="12583"/>
    <n v="71.998962908340971"/>
    <n v="17.572628235256104"/>
    <n v="5.2443564522114174"/>
    <s v="Large Population State"/>
    <s v="Medium"/>
    <n v="26"/>
    <x v="1"/>
    <x v="4"/>
  </r>
  <r>
    <n v="3166"/>
    <n v="6218"/>
    <n v="844"/>
    <n v="3677"/>
    <n v="9343"/>
    <n v="74.49950611390733"/>
    <n v="10.145622692559817"/>
    <n v="11.783150549760723"/>
    <s v="Large Population State"/>
    <s v="Medium"/>
    <n v="25"/>
    <x v="1"/>
    <x v="5"/>
  </r>
  <r>
    <n v="9422"/>
    <n v="11167"/>
    <n v="4492"/>
    <n v="3257"/>
    <n v="17899"/>
    <n v="76.501051659892639"/>
    <n v="15.589093339522643"/>
    <n v="5.3888428154134207"/>
    <s v="Large Population State"/>
    <s v="Medium"/>
    <n v="24"/>
    <x v="1"/>
    <x v="2"/>
  </r>
  <r>
    <n v="5015"/>
    <n v="6726"/>
    <n v="629"/>
    <n v="3542"/>
    <n v="4458"/>
    <n v="79.741014338585273"/>
    <n v="19.63186975493398"/>
    <n v="13.865619675369125"/>
    <s v="Large Population State"/>
    <s v="Medium"/>
    <n v="23"/>
    <x v="1"/>
    <x v="1"/>
  </r>
  <r>
    <n v="2111"/>
    <n v="1699"/>
    <n v="2035"/>
    <n v="1511"/>
    <n v="1850"/>
    <n v="91.272392272601266"/>
    <n v="20.929396055557383"/>
    <n v="14.980728299359171"/>
    <s v="Large Population State"/>
    <s v="Medium"/>
    <n v="22"/>
    <x v="1"/>
    <x v="3"/>
  </r>
  <r>
    <n v="15112"/>
    <n v="6500"/>
    <n v="14530"/>
    <n v="6174"/>
    <n v="13712"/>
    <n v="91.705913140908365"/>
    <n v="24.735128139241223"/>
    <n v="10.105524161704295"/>
    <s v="Large Population State"/>
    <s v="Medium"/>
    <n v="21"/>
    <x v="1"/>
    <x v="4"/>
  </r>
  <r>
    <n v="13866"/>
    <n v="23820"/>
    <n v="2500"/>
    <n v="9474"/>
    <n v="17131"/>
    <n v="97.436211419379262"/>
    <n v="20.228032332815992"/>
    <n v="13.820884056043466"/>
    <s v="Large Population State"/>
    <s v="Medium"/>
    <n v="20"/>
    <x v="1"/>
    <x v="2"/>
  </r>
  <r>
    <n v="10025"/>
    <n v="12582"/>
    <n v="21978"/>
    <n v="7695"/>
    <n v="29888"/>
    <n v="113.88965006598332"/>
    <n v="13.895235881504755"/>
    <n v="10.665719711539062"/>
    <s v="Large Population State"/>
    <s v="High"/>
    <n v="16"/>
    <x v="1"/>
    <x v="4"/>
  </r>
  <r>
    <n v="3955"/>
    <n v="2769"/>
    <s v="NA"/>
    <n v="1862"/>
    <n v="5420"/>
    <n v="114.17594736852404"/>
    <n v="32.240887608347315"/>
    <n v="15.178895758974134"/>
    <s v="Large Population State"/>
    <s v="High"/>
    <n v="15"/>
    <x v="1"/>
    <x v="3"/>
  </r>
  <r>
    <n v="1005"/>
    <n v="969"/>
    <n v="3665"/>
    <n v="1924"/>
    <n v="2632"/>
    <n v="148.51552937810524"/>
    <n v="14.640324377145243"/>
    <n v="28.027844877241243"/>
    <s v="Low Population State / UT"/>
    <s v="High"/>
    <n v="11"/>
    <x v="1"/>
    <x v="3"/>
  </r>
  <r>
    <n v="918"/>
    <n v="630"/>
    <n v="900"/>
    <n v="1260"/>
    <n v="727"/>
    <n v="120.71584632968029"/>
    <n v="24.986955339491882"/>
    <n v="34.295821054204545"/>
    <s v="Low Population State / UT"/>
    <s v="High"/>
    <n v="14"/>
    <x v="1"/>
    <x v="6"/>
  </r>
  <r>
    <n v="1127"/>
    <n v="867"/>
    <n v="40"/>
    <n v="1960"/>
    <n v="594"/>
    <n v="154.64009607369874"/>
    <n v="37.985917235191479"/>
    <n v="66.062464756854737"/>
    <s v="Low Population State / UT"/>
    <s v="High"/>
    <n v="10"/>
    <x v="1"/>
    <x v="6"/>
  </r>
  <r>
    <n v="420"/>
    <n v="365"/>
    <n v="10"/>
    <n v="551"/>
    <n v="1449"/>
    <n v="108.73836266091915"/>
    <n v="16.339932850656904"/>
    <n v="21.436435715980842"/>
    <s v="Low Population State / UT"/>
    <s v="High"/>
    <n v="18"/>
    <x v="1"/>
    <x v="6"/>
  </r>
  <r>
    <n v="706"/>
    <n v="325"/>
    <s v="NA"/>
    <n v="1017"/>
    <s v="NA"/>
    <n v="103.5126575560702"/>
    <n v="35.683562614543732"/>
    <n v="51.402525749279"/>
    <s v="Low Population State / UT"/>
    <s v="High"/>
    <n v="19"/>
    <x v="1"/>
    <x v="6"/>
  </r>
  <r>
    <n v="183"/>
    <n v="210"/>
    <n v="253"/>
    <n v="600"/>
    <n v="1342"/>
    <n v="177.43710341470438"/>
    <n v="12.5467503573767"/>
    <n v="41.136886417628531"/>
    <s v="Low Population State / UT"/>
    <s v="High"/>
    <n v="9"/>
    <x v="1"/>
    <x v="2"/>
  </r>
  <r>
    <n v="397"/>
    <n v="594"/>
    <s v="NA"/>
    <n v="1151"/>
    <n v="350"/>
    <n v="180.09332765784001"/>
    <n v="28.690630449503409"/>
    <n v="83.181147726394002"/>
    <s v="Low Population State / UT"/>
    <s v="High"/>
    <n v="8"/>
    <x v="1"/>
    <x v="6"/>
  </r>
  <r>
    <n v="655"/>
    <n v="240"/>
    <n v="70"/>
    <n v="903"/>
    <n v="500"/>
    <n v="215.82091239019837"/>
    <n v="59.697085141714496"/>
    <n v="82.299950966363653"/>
    <s v="Low Population State / UT"/>
    <s v="High"/>
    <n v="6"/>
    <x v="1"/>
    <x v="6"/>
  </r>
  <r>
    <n v="257"/>
    <n v="28"/>
    <s v="NA"/>
    <n v="400"/>
    <s v="NA"/>
    <n v="112.18896224391027"/>
    <n v="42.091333279832028"/>
    <n v="65.511802770166582"/>
    <s v="Low Population State / UT"/>
    <s v="High"/>
    <n v="17"/>
    <x v="1"/>
    <x v="6"/>
  </r>
  <r>
    <n v="5727"/>
    <n v="6371"/>
    <n v="8347"/>
    <n v="15113"/>
    <n v="7175"/>
    <n v="127.91990052344094"/>
    <n v="17.143595588836408"/>
    <n v="45.240293370714973"/>
    <s v="Large Population State"/>
    <s v="High"/>
    <n v="13"/>
    <x v="1"/>
    <x v="4"/>
  </r>
  <r>
    <n v="12"/>
    <s v="NA"/>
    <n v="431"/>
    <n v="9789"/>
    <n v="12060"/>
    <n v="132.78578951403273"/>
    <n v="7.1479879515897751E-2"/>
    <n v="58.309711715093584"/>
    <s v="Large Population State"/>
    <s v="High"/>
    <n v="12"/>
    <x v="1"/>
    <x v="3"/>
  </r>
  <r>
    <n v="185"/>
    <n v="120"/>
    <s v="NA"/>
    <n v="1853"/>
    <n v="2794"/>
    <n v="396.80981575427921"/>
    <n v="14.824276234762046"/>
    <n v="148.48315601629227"/>
    <s v="Low Population State / UT"/>
    <s v="High"/>
    <n v="1"/>
    <x v="1"/>
    <x v="5"/>
  </r>
  <r>
    <n v="23"/>
    <n v="120"/>
    <n v="100"/>
    <n v="527"/>
    <n v="3096"/>
    <n v="366.28926050499786"/>
    <n v="2.1791652849495478"/>
    <n v="49.931308920365716"/>
    <s v="Low Population State / UT"/>
    <s v="High"/>
    <n v="3"/>
    <x v="1"/>
    <x v="5"/>
  </r>
  <r>
    <n v="177"/>
    <n v="132"/>
    <n v="100"/>
    <n v="240"/>
    <n v="589"/>
    <n v="211.34791485990945"/>
    <n v="30.21694743958318"/>
    <n v="40.972132121468718"/>
    <s v="Low Population State / UT"/>
    <s v="High"/>
    <n v="7"/>
    <x v="1"/>
    <x v="5"/>
  </r>
  <r>
    <n v="230"/>
    <n v="210"/>
    <s v="NA"/>
    <n v="220"/>
    <n v="700"/>
    <n v="357.34836999219613"/>
    <n v="60.433915513386111"/>
    <n v="57.806353969325848"/>
    <s v="Low Population State / UT"/>
    <s v="High"/>
    <n v="4"/>
    <x v="1"/>
    <x v="5"/>
  </r>
  <r>
    <n v="320"/>
    <n v="190"/>
    <s v="NA"/>
    <n v="370"/>
    <s v="NA"/>
    <n v="321.16788321167883"/>
    <n v="116.78832116788323"/>
    <n v="135.03649635036496"/>
    <s v="Low Population State / UT"/>
    <s v="High"/>
    <n v="5"/>
    <x v="1"/>
    <x v="5"/>
  </r>
  <r>
    <n v="40"/>
    <n v="90"/>
    <n v="70"/>
    <n v="50"/>
    <s v="NA"/>
    <n v="387.75921703658895"/>
    <n v="62.041474725854236"/>
    <n v="77.55184340731779"/>
    <s v="Low Population State / UT"/>
    <s v="High"/>
    <n v="2"/>
    <x v="1"/>
    <x v="5"/>
  </r>
  <r>
    <m/>
    <m/>
    <m/>
    <m/>
    <m/>
    <m/>
    <m/>
    <m/>
    <m/>
    <m/>
    <m/>
    <x v="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6A4DE-D3D5-4837-9716-050DB9EBC50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J5" firstHeaderRow="1" firstDataRow="2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9">
        <item x="1"/>
        <item x="0"/>
        <item x="3"/>
        <item x="6"/>
        <item x="4"/>
        <item x="5"/>
        <item x="2"/>
        <item x="7"/>
        <item t="default"/>
      </items>
    </pivotField>
  </pivotFields>
  <rowItems count="1">
    <i/>
  </rowItems>
  <colFields count="1">
    <field x="1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Beds per 1 Lakh Population" fld="5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71D3-EAC4-46B7-B6EC-05B92540D1DA}">
  <dimension ref="A1:P58"/>
  <sheetViews>
    <sheetView tabSelected="1" topLeftCell="A3" zoomScale="77" workbookViewId="0">
      <selection activeCell="K25" sqref="K25"/>
    </sheetView>
  </sheetViews>
  <sheetFormatPr defaultRowHeight="14.4" x14ac:dyDescent="0.3"/>
  <cols>
    <col min="1" max="1" width="24.33203125" customWidth="1"/>
    <col min="2" max="2" width="21.21875" customWidth="1"/>
    <col min="3" max="3" width="18.6640625" customWidth="1"/>
    <col min="6" max="6" width="35.5546875" customWidth="1"/>
    <col min="7" max="7" width="17.44140625" customWidth="1"/>
    <col min="8" max="8" width="17.21875" customWidth="1"/>
    <col min="9" max="9" width="28.77734375" customWidth="1"/>
    <col min="10" max="10" width="23.44140625" customWidth="1"/>
    <col min="11" max="11" width="35.109375" customWidth="1"/>
    <col min="12" max="12" width="28.44140625" customWidth="1"/>
    <col min="13" max="13" width="24.109375" customWidth="1"/>
    <col min="14" max="14" width="22.5546875" customWidth="1"/>
    <col min="15" max="15" width="18.109375" customWidth="1"/>
    <col min="16" max="16" width="18.33203125" customWidth="1"/>
  </cols>
  <sheetData>
    <row r="1" spans="1:16" x14ac:dyDescent="0.3">
      <c r="A1" t="s">
        <v>37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</row>
    <row r="2" spans="1:16" x14ac:dyDescent="0.3">
      <c r="A2" t="s">
        <v>3</v>
      </c>
      <c r="B2">
        <v>104099452</v>
      </c>
      <c r="C2">
        <v>27920</v>
      </c>
      <c r="D2">
        <f>_xlfn.XLOOKUP(A2, [1]RS_Session_266_AU_911_C_to_D_ii!B:B, [1]RS_Session_266_AU_911_C_to_D_ii!C:C)</f>
        <v>5596</v>
      </c>
      <c r="E2">
        <f>_xlfn.XLOOKUP(A2, [1]RS_Session_266_AU_911_C_to_D_ii!B:B, [1]RS_Session_266_AU_911_C_to_D_ii!D:D)</f>
        <v>8039</v>
      </c>
      <c r="F2">
        <f>_xlfn.XLOOKUP(A2,[1]RS_Session_266_AU_911_C_to_D_ii!B:B, [1]RS_Session_266_AU_911_C_to_D_ii!E:E)</f>
        <v>2459</v>
      </c>
      <c r="G2">
        <f>_xlfn.XLOOKUP(A2,[1]RS_Session_266_AU_911_C_to_D_ii!B:B, [1]RS_Session_266_AU_911_C_to_D_ii!F:F)</f>
        <v>4575</v>
      </c>
      <c r="H2">
        <f>_xlfn.XLOOKUP(A2,[1]RS_Session_266_AU_911_C_to_D_ii!B:B, [1]RS_Session_266_AU_911_C_to_D_ii!G:G)</f>
        <v>7251</v>
      </c>
      <c r="I2" s="1">
        <f t="shared" ref="I2:I31" si="0">(C2/B2)*100000</f>
        <v>26.820506221300761</v>
      </c>
      <c r="J2" s="1">
        <f t="shared" ref="J2:J31" si="1">(D2/B2)*100000</f>
        <v>5.3756286824641499</v>
      </c>
      <c r="K2" s="1">
        <f t="shared" ref="K2:K31" si="2">(G2 / B2) * 100000</f>
        <v>4.3948358152740319</v>
      </c>
      <c r="L2" t="str">
        <f>IF(B2&gt;=10000000,"Large Population State","Low Population State / UT")</f>
        <v>Large Population State</v>
      </c>
      <c r="M2" t="str">
        <f t="shared" ref="M2:M31" si="3">IF(I2&lt;40,"Low",IF(I2&lt;=100,"Medium","High"))</f>
        <v>Low</v>
      </c>
      <c r="N2">
        <f t="shared" ref="N2:N31" si="4">RANK(I2,$I$2:$I$37,0)</f>
        <v>36</v>
      </c>
      <c r="O2" t="str">
        <f t="shared" ref="O2:O31" si="5">IF(AND(L2="Large Population State",I2&lt;50),"Yes","No")</f>
        <v>Yes</v>
      </c>
      <c r="P2" t="s">
        <v>55</v>
      </c>
    </row>
    <row r="3" spans="1:16" x14ac:dyDescent="0.3">
      <c r="A3" t="s">
        <v>13</v>
      </c>
      <c r="B3">
        <v>32988134</v>
      </c>
      <c r="C3">
        <v>11525</v>
      </c>
      <c r="D3">
        <f>_xlfn.XLOOKUP(A3, [1]RS_Session_266_AU_911_C_to_D_ii!B:B, [1]RS_Session_266_AU_911_C_to_D_ii!C:C)</f>
        <v>1229</v>
      </c>
      <c r="E3">
        <f>_xlfn.XLOOKUP(A3, [1]RS_Session_266_AU_911_C_to_D_ii!B:B, [1]RS_Session_266_AU_911_C_to_D_ii!D:D)</f>
        <v>3647</v>
      </c>
      <c r="F3">
        <f>_xlfn.XLOOKUP(A3,[1]RS_Session_266_AU_911_C_to_D_ii!B:B, [1]RS_Session_266_AU_911_C_to_D_ii!E:E)</f>
        <v>534</v>
      </c>
      <c r="G3">
        <f>_xlfn.XLOOKUP(A3,[1]RS_Session_266_AU_911_C_to_D_ii!B:B, [1]RS_Session_266_AU_911_C_to_D_ii!F:F)</f>
        <v>3215</v>
      </c>
      <c r="H3">
        <f>_xlfn.XLOOKUP(A3,[1]RS_Session_266_AU_911_C_to_D_ii!B:B, [1]RS_Session_266_AU_911_C_to_D_ii!G:G)</f>
        <v>2900</v>
      </c>
      <c r="I3" s="1">
        <f t="shared" si="0"/>
        <v>34.936804852314474</v>
      </c>
      <c r="J3" s="1">
        <f t="shared" si="1"/>
        <v>3.7255820532316255</v>
      </c>
      <c r="K3" s="1">
        <f t="shared" si="2"/>
        <v>9.7459286420990043</v>
      </c>
      <c r="L3" t="str">
        <f t="shared" ref="L3:L31" si="6">IF(B3&gt;=10000000,"Large Population State","Low Population State / UT")</f>
        <v>Large Population State</v>
      </c>
      <c r="M3" t="str">
        <f t="shared" si="3"/>
        <v>Low</v>
      </c>
      <c r="N3">
        <f t="shared" si="4"/>
        <v>35</v>
      </c>
      <c r="O3" t="str">
        <f t="shared" si="5"/>
        <v>Yes</v>
      </c>
      <c r="P3" t="s">
        <v>55</v>
      </c>
    </row>
    <row r="4" spans="1:16" x14ac:dyDescent="0.3">
      <c r="A4" t="s">
        <v>1</v>
      </c>
      <c r="B4">
        <v>199812341</v>
      </c>
      <c r="C4">
        <v>77243</v>
      </c>
      <c r="D4">
        <f>_xlfn.XLOOKUP(A4, [1]RS_Session_266_AU_911_C_to_D_ii!B:B, [1]RS_Session_266_AU_911_C_to_D_ii!C:C)</f>
        <v>13548</v>
      </c>
      <c r="E4">
        <f>_xlfn.XLOOKUP(A4, [1]RS_Session_266_AU_911_C_to_D_ii!B:B, [1]RS_Session_266_AU_911_C_to_D_ii!D:D)</f>
        <v>26157</v>
      </c>
      <c r="F4" t="str">
        <f>_xlfn.XLOOKUP(A4,[1]RS_Session_266_AU_911_C_to_D_ii!B:B, [1]RS_Session_266_AU_911_C_to_D_ii!E:E)</f>
        <v>NA</v>
      </c>
      <c r="G4">
        <f>_xlfn.XLOOKUP(A4,[1]RS_Session_266_AU_911_C_to_D_ii!B:B, [1]RS_Session_266_AU_911_C_to_D_ii!F:F)</f>
        <v>22812</v>
      </c>
      <c r="H4">
        <f>_xlfn.XLOOKUP(A4,[1]RS_Session_266_AU_911_C_to_D_ii!B:B, [1]RS_Session_266_AU_911_C_to_D_ii!G:G)</f>
        <v>14726</v>
      </c>
      <c r="I4" s="1">
        <f t="shared" si="0"/>
        <v>38.657772394548942</v>
      </c>
      <c r="J4" s="1">
        <f t="shared" si="1"/>
        <v>6.7803619797437831</v>
      </c>
      <c r="K4" s="1">
        <f t="shared" si="2"/>
        <v>11.416712244014999</v>
      </c>
      <c r="L4" t="str">
        <f t="shared" si="6"/>
        <v>Large Population State</v>
      </c>
      <c r="M4" t="str">
        <f t="shared" si="3"/>
        <v>Low</v>
      </c>
      <c r="N4">
        <f t="shared" si="4"/>
        <v>34</v>
      </c>
      <c r="O4" t="str">
        <f t="shared" si="5"/>
        <v>Yes</v>
      </c>
      <c r="P4" t="s">
        <v>52</v>
      </c>
    </row>
    <row r="5" spans="1:16" x14ac:dyDescent="0.3">
      <c r="A5" t="s">
        <v>2</v>
      </c>
      <c r="B5">
        <v>112374333</v>
      </c>
      <c r="C5">
        <v>45291</v>
      </c>
      <c r="D5">
        <f>_xlfn.XLOOKUP(A5, [1]RS_Session_266_AU_911_C_to_D_ii!B:B, [1]RS_Session_266_AU_911_C_to_D_ii!C:C)</f>
        <v>18276</v>
      </c>
      <c r="E5">
        <f>_xlfn.XLOOKUP(A5, [1]RS_Session_266_AU_911_C_to_D_ii!B:B, [1]RS_Session_266_AU_911_C_to_D_ii!D:D)</f>
        <v>15004</v>
      </c>
      <c r="F5">
        <f>_xlfn.XLOOKUP(A5,[1]RS_Session_266_AU_911_C_to_D_ii!B:B, [1]RS_Session_266_AU_911_C_to_D_ii!E:E)</f>
        <v>7903</v>
      </c>
      <c r="G5">
        <f>_xlfn.XLOOKUP(A5,[1]RS_Session_266_AU_911_C_to_D_ii!B:B, [1]RS_Session_266_AU_911_C_to_D_ii!F:F)</f>
        <v>4108</v>
      </c>
      <c r="H5">
        <f>_xlfn.XLOOKUP(A5,[1]RS_Session_266_AU_911_C_to_D_ii!B:B, [1]RS_Session_266_AU_911_C_to_D_ii!G:G)</f>
        <v>16998</v>
      </c>
      <c r="I5" s="1">
        <f t="shared" si="0"/>
        <v>40.303687497749152</v>
      </c>
      <c r="J5" s="1">
        <f t="shared" si="1"/>
        <v>16.263500313723775</v>
      </c>
      <c r="K5" s="1">
        <f t="shared" si="2"/>
        <v>3.6556390506006382</v>
      </c>
      <c r="L5" t="str">
        <f t="shared" si="6"/>
        <v>Large Population State</v>
      </c>
      <c r="M5" t="str">
        <f t="shared" si="3"/>
        <v>Medium</v>
      </c>
      <c r="N5">
        <f t="shared" si="4"/>
        <v>33</v>
      </c>
      <c r="O5" t="str">
        <f t="shared" si="5"/>
        <v>Yes</v>
      </c>
      <c r="P5" t="s">
        <v>56</v>
      </c>
    </row>
    <row r="6" spans="1:16" x14ac:dyDescent="0.3">
      <c r="A6" t="s">
        <v>15</v>
      </c>
      <c r="B6">
        <v>27743338</v>
      </c>
      <c r="C6">
        <v>14999</v>
      </c>
      <c r="D6">
        <f>_xlfn.XLOOKUP(A6, [1]RS_Session_266_AU_911_C_to_D_ii!B:B, [1]RS_Session_266_AU_911_C_to_D_ii!C:C)</f>
        <v>1688</v>
      </c>
      <c r="E6">
        <f>_xlfn.XLOOKUP(A6, [1]RS_Session_266_AU_911_C_to_D_ii!B:B, [1]RS_Session_266_AU_911_C_to_D_ii!D:D)</f>
        <v>3711</v>
      </c>
      <c r="F6">
        <f>_xlfn.XLOOKUP(A6,[1]RS_Session_266_AU_911_C_to_D_ii!B:B, [1]RS_Session_266_AU_911_C_to_D_ii!E:E)</f>
        <v>2509</v>
      </c>
      <c r="G6">
        <f>_xlfn.XLOOKUP(A6,[1]RS_Session_266_AU_911_C_to_D_ii!B:B, [1]RS_Session_266_AU_911_C_to_D_ii!F:F)</f>
        <v>3931</v>
      </c>
      <c r="H6">
        <f>_xlfn.XLOOKUP(A6,[1]RS_Session_266_AU_911_C_to_D_ii!B:B, [1]RS_Session_266_AU_911_C_to_D_ii!G:G)</f>
        <v>3160</v>
      </c>
      <c r="I6" s="1">
        <f t="shared" si="0"/>
        <v>54.063429570010648</v>
      </c>
      <c r="J6" s="1">
        <f t="shared" si="1"/>
        <v>6.0843435638494547</v>
      </c>
      <c r="K6" s="1">
        <f t="shared" si="2"/>
        <v>14.169167387139932</v>
      </c>
      <c r="L6" t="str">
        <f t="shared" si="6"/>
        <v>Large Population State</v>
      </c>
      <c r="M6" t="str">
        <f t="shared" si="3"/>
        <v>Medium</v>
      </c>
      <c r="N6">
        <f t="shared" si="4"/>
        <v>32</v>
      </c>
      <c r="O6" t="str">
        <f t="shared" si="5"/>
        <v>No</v>
      </c>
      <c r="P6" t="s">
        <v>53</v>
      </c>
    </row>
    <row r="7" spans="1:16" x14ac:dyDescent="0.3">
      <c r="A7" t="s">
        <v>17</v>
      </c>
      <c r="B7">
        <v>25351462</v>
      </c>
      <c r="C7">
        <v>14150</v>
      </c>
      <c r="D7">
        <f>_xlfn.XLOOKUP(A7, [1]RS_Session_266_AU_911_C_to_D_ii!B:B, [1]RS_Session_266_AU_911_C_to_D_ii!C:C)</f>
        <v>2183</v>
      </c>
      <c r="E7">
        <f>_xlfn.XLOOKUP(A7, [1]RS_Session_266_AU_911_C_to_D_ii!B:B, [1]RS_Session_266_AU_911_C_to_D_ii!D:D)</f>
        <v>3079</v>
      </c>
      <c r="F7">
        <f>_xlfn.XLOOKUP(A7,[1]RS_Session_266_AU_911_C_to_D_ii!B:B, [1]RS_Session_266_AU_911_C_to_D_ii!E:E)</f>
        <v>1581</v>
      </c>
      <c r="G7">
        <f>_xlfn.XLOOKUP(A7,[1]RS_Session_266_AU_911_C_to_D_ii!B:B, [1]RS_Session_266_AU_911_C_to_D_ii!F:F)</f>
        <v>3647</v>
      </c>
      <c r="H7">
        <f>_xlfn.XLOOKUP(A7,[1]RS_Session_266_AU_911_C_to_D_ii!B:B, [1]RS_Session_266_AU_911_C_to_D_ii!G:G)</f>
        <v>3660</v>
      </c>
      <c r="I7" s="1">
        <f t="shared" si="0"/>
        <v>55.815321420121649</v>
      </c>
      <c r="J7" s="1">
        <f t="shared" si="1"/>
        <v>8.6109432268639967</v>
      </c>
      <c r="K7" s="1">
        <f t="shared" si="2"/>
        <v>14.385758107362802</v>
      </c>
      <c r="L7" t="str">
        <f t="shared" si="6"/>
        <v>Large Population State</v>
      </c>
      <c r="M7" t="str">
        <f t="shared" si="3"/>
        <v>Medium</v>
      </c>
      <c r="N7">
        <f t="shared" si="4"/>
        <v>31</v>
      </c>
      <c r="O7" t="str">
        <f t="shared" si="5"/>
        <v>No</v>
      </c>
      <c r="P7" t="s">
        <v>53</v>
      </c>
    </row>
    <row r="8" spans="1:16" x14ac:dyDescent="0.3">
      <c r="A8" t="s">
        <v>36</v>
      </c>
      <c r="B8">
        <v>35003674</v>
      </c>
      <c r="C8">
        <v>21612</v>
      </c>
      <c r="D8">
        <f>_xlfn.XLOOKUP(A8, [1]RS_Session_266_AU_911_C_to_D_ii!B:B, [1]RS_Session_266_AU_911_C_to_D_ii!C:C)</f>
        <v>4662</v>
      </c>
      <c r="E8">
        <f>_xlfn.XLOOKUP(A8, [1]RS_Session_266_AU_911_C_to_D_ii!B:B, [1]RS_Session_266_AU_911_C_to_D_ii!D:D)</f>
        <v>3320</v>
      </c>
      <c r="F8">
        <f>_xlfn.XLOOKUP(A8,[1]RS_Session_266_AU_911_C_to_D_ii!B:B, [1]RS_Session_266_AU_911_C_to_D_ii!E:E)</f>
        <v>5400</v>
      </c>
      <c r="G8">
        <f>_xlfn.XLOOKUP(A8,[1]RS_Session_266_AU_911_C_to_D_ii!B:B, [1]RS_Session_266_AU_911_C_to_D_ii!F:F)</f>
        <v>2270</v>
      </c>
      <c r="H8">
        <f>_xlfn.XLOOKUP(A8,[1]RS_Session_266_AU_911_C_to_D_ii!B:B, [1]RS_Session_266_AU_911_C_to_D_ii!G:G)</f>
        <v>5960</v>
      </c>
      <c r="I8" s="1">
        <f t="shared" si="0"/>
        <v>61.742090273152463</v>
      </c>
      <c r="J8" s="1">
        <f t="shared" si="1"/>
        <v>13.318601927329114</v>
      </c>
      <c r="K8" s="1">
        <f t="shared" si="2"/>
        <v>6.4850335424789982</v>
      </c>
      <c r="L8" t="str">
        <f t="shared" si="6"/>
        <v>Large Population State</v>
      </c>
      <c r="M8" t="str">
        <f t="shared" si="3"/>
        <v>Medium</v>
      </c>
      <c r="N8">
        <f t="shared" si="4"/>
        <v>30</v>
      </c>
      <c r="O8" t="str">
        <f t="shared" si="5"/>
        <v>No</v>
      </c>
      <c r="P8" t="s">
        <v>54</v>
      </c>
    </row>
    <row r="9" spans="1:16" x14ac:dyDescent="0.3">
      <c r="A9" t="s">
        <v>11</v>
      </c>
      <c r="B9">
        <v>41974218</v>
      </c>
      <c r="C9">
        <v>26316</v>
      </c>
      <c r="D9">
        <f>_xlfn.XLOOKUP(A9, [1]RS_Session_266_AU_911_C_to_D_ii!B:B, [1]RS_Session_266_AU_911_C_to_D_ii!C:C)</f>
        <v>1501</v>
      </c>
      <c r="E9">
        <f>_xlfn.XLOOKUP(A9, [1]RS_Session_266_AU_911_C_to_D_ii!B:B, [1]RS_Session_266_AU_911_C_to_D_ii!D:D)</f>
        <v>6290</v>
      </c>
      <c r="F9">
        <f>_xlfn.XLOOKUP(A9,[1]RS_Session_266_AU_911_C_to_D_ii!B:B, [1]RS_Session_266_AU_911_C_to_D_ii!E:E)</f>
        <v>1946</v>
      </c>
      <c r="G9">
        <f>_xlfn.XLOOKUP(A9,[1]RS_Session_266_AU_911_C_to_D_ii!B:B, [1]RS_Session_266_AU_911_C_to_D_ii!F:F)</f>
        <v>7288</v>
      </c>
      <c r="H9">
        <f>_xlfn.XLOOKUP(A9,[1]RS_Session_266_AU_911_C_to_D_ii!B:B, [1]RS_Session_266_AU_911_C_to_D_ii!G:G)</f>
        <v>9291</v>
      </c>
      <c r="I9" s="1">
        <f t="shared" si="0"/>
        <v>62.695629016840769</v>
      </c>
      <c r="J9" s="1">
        <f t="shared" si="1"/>
        <v>3.5760046798251253</v>
      </c>
      <c r="K9" s="1">
        <f t="shared" si="2"/>
        <v>17.363039378124924</v>
      </c>
      <c r="L9" t="str">
        <f t="shared" si="6"/>
        <v>Large Population State</v>
      </c>
      <c r="M9" t="str">
        <f t="shared" si="3"/>
        <v>Medium</v>
      </c>
      <c r="N9">
        <f t="shared" si="4"/>
        <v>29</v>
      </c>
      <c r="O9" t="str">
        <f t="shared" si="5"/>
        <v>No</v>
      </c>
      <c r="P9" t="s">
        <v>55</v>
      </c>
    </row>
    <row r="10" spans="1:16" x14ac:dyDescent="0.3">
      <c r="A10" t="s">
        <v>4</v>
      </c>
      <c r="B10">
        <v>91276115</v>
      </c>
      <c r="C10">
        <v>64640</v>
      </c>
      <c r="D10">
        <f>_xlfn.XLOOKUP(A10, [1]RS_Session_266_AU_911_C_to_D_ii!B:B, [1]RS_Session_266_AU_911_C_to_D_ii!C:C)</f>
        <v>7640</v>
      </c>
      <c r="E10">
        <f>_xlfn.XLOOKUP(A10, [1]RS_Session_266_AU_911_C_to_D_ii!B:B, [1]RS_Session_266_AU_911_C_to_D_ii!D:D)</f>
        <v>11205</v>
      </c>
      <c r="F10">
        <f>_xlfn.XLOOKUP(A10,[1]RS_Session_266_AU_911_C_to_D_ii!B:B, [1]RS_Session_266_AU_911_C_to_D_ii!E:E)</f>
        <v>13110</v>
      </c>
      <c r="G10">
        <f>_xlfn.XLOOKUP(A10,[1]RS_Session_266_AU_911_C_to_D_ii!B:B, [1]RS_Session_266_AU_911_C_to_D_ii!F:F)</f>
        <v>7599</v>
      </c>
      <c r="H10">
        <f>_xlfn.XLOOKUP(A10,[1]RS_Session_266_AU_911_C_to_D_ii!B:B, [1]RS_Session_266_AU_911_C_to_D_ii!G:G)</f>
        <v>25086</v>
      </c>
      <c r="I10" s="1">
        <f t="shared" si="0"/>
        <v>70.818088609490005</v>
      </c>
      <c r="J10" s="1">
        <f t="shared" si="1"/>
        <v>8.3702072552058109</v>
      </c>
      <c r="K10" s="1">
        <f t="shared" si="2"/>
        <v>8.3252886037053617</v>
      </c>
      <c r="L10" t="str">
        <f t="shared" si="6"/>
        <v>Large Population State</v>
      </c>
      <c r="M10" t="str">
        <f t="shared" si="3"/>
        <v>Medium</v>
      </c>
      <c r="N10">
        <f t="shared" si="4"/>
        <v>28</v>
      </c>
      <c r="O10" t="str">
        <f t="shared" si="5"/>
        <v>No</v>
      </c>
      <c r="P10" t="s">
        <v>55</v>
      </c>
    </row>
    <row r="11" spans="1:16" x14ac:dyDescent="0.3">
      <c r="A11" t="s">
        <v>5</v>
      </c>
      <c r="B11">
        <v>72626809</v>
      </c>
      <c r="C11">
        <v>51451</v>
      </c>
      <c r="D11">
        <f>_xlfn.XLOOKUP(A11, [1]RS_Session_266_AU_911_C_to_D_ii!B:B, [1]RS_Session_266_AU_911_C_to_D_ii!C:C)</f>
        <v>8640</v>
      </c>
      <c r="E11">
        <f>_xlfn.XLOOKUP(A11, [1]RS_Session_266_AU_911_C_to_D_ii!B:B, [1]RS_Session_266_AU_911_C_to_D_ii!D:D)</f>
        <v>10590</v>
      </c>
      <c r="F11">
        <f>_xlfn.XLOOKUP(A11,[1]RS_Session_266_AU_911_C_to_D_ii!B:B, [1]RS_Session_266_AU_911_C_to_D_ii!E:E)</f>
        <v>9721</v>
      </c>
      <c r="G11">
        <f>_xlfn.XLOOKUP(A11,[1]RS_Session_266_AU_911_C_to_D_ii!B:B, [1]RS_Session_266_AU_911_C_to_D_ii!F:F)</f>
        <v>16650</v>
      </c>
      <c r="H11">
        <f>_xlfn.XLOOKUP(A11,[1]RS_Session_266_AU_911_C_to_D_ii!B:B, [1]RS_Session_266_AU_911_C_to_D_ii!G:G)</f>
        <v>5850</v>
      </c>
      <c r="I11" s="1">
        <f t="shared" si="0"/>
        <v>70.842985818088195</v>
      </c>
      <c r="J11" s="1">
        <f t="shared" si="1"/>
        <v>11.896433450628404</v>
      </c>
      <c r="K11" s="1">
        <f t="shared" si="2"/>
        <v>22.925418628815155</v>
      </c>
      <c r="L11" t="str">
        <f t="shared" si="6"/>
        <v>Large Population State</v>
      </c>
      <c r="M11" t="str">
        <f t="shared" si="3"/>
        <v>Medium</v>
      </c>
      <c r="N11">
        <f t="shared" si="4"/>
        <v>27</v>
      </c>
      <c r="O11" t="str">
        <f t="shared" si="5"/>
        <v>No</v>
      </c>
      <c r="P11" t="s">
        <v>52</v>
      </c>
    </row>
    <row r="12" spans="1:16" x14ac:dyDescent="0.3">
      <c r="A12" t="s">
        <v>10</v>
      </c>
      <c r="B12">
        <v>49577103</v>
      </c>
      <c r="C12">
        <v>35695</v>
      </c>
      <c r="D12">
        <f>_xlfn.XLOOKUP(A12, [1]RS_Session_266_AU_911_C_to_D_ii!B:B, [1]RS_Session_266_AU_911_C_to_D_ii!C:C)</f>
        <v>8712</v>
      </c>
      <c r="E12">
        <f>_xlfn.XLOOKUP(A12, [1]RS_Session_266_AU_911_C_to_D_ii!B:B, [1]RS_Session_266_AU_911_C_to_D_ii!D:D)</f>
        <v>6400</v>
      </c>
      <c r="F12">
        <f>_xlfn.XLOOKUP(A12,[1]RS_Session_266_AU_911_C_to_D_ii!B:B, [1]RS_Session_266_AU_911_C_to_D_ii!E:E)</f>
        <v>5400</v>
      </c>
      <c r="G12">
        <f>_xlfn.XLOOKUP(A12,[1]RS_Session_266_AU_911_C_to_D_ii!B:B, [1]RS_Session_266_AU_911_C_to_D_ii!F:F)</f>
        <v>2600</v>
      </c>
      <c r="H12">
        <f>_xlfn.XLOOKUP(A12,[1]RS_Session_266_AU_911_C_to_D_ii!B:B, [1]RS_Session_266_AU_911_C_to_D_ii!G:G)</f>
        <v>12583</v>
      </c>
      <c r="I12" s="1">
        <f t="shared" si="0"/>
        <v>71.998962908340971</v>
      </c>
      <c r="J12" s="1">
        <f t="shared" si="1"/>
        <v>17.572628235256104</v>
      </c>
      <c r="K12" s="1">
        <f t="shared" si="2"/>
        <v>5.2443564522114174</v>
      </c>
      <c r="L12" t="str">
        <f t="shared" si="6"/>
        <v>Large Population State</v>
      </c>
      <c r="M12" t="str">
        <f t="shared" si="3"/>
        <v>Medium</v>
      </c>
      <c r="N12">
        <f t="shared" si="4"/>
        <v>26</v>
      </c>
      <c r="O12" t="str">
        <f t="shared" si="5"/>
        <v>No</v>
      </c>
      <c r="P12" t="s">
        <v>54</v>
      </c>
    </row>
    <row r="13" spans="1:16" x14ac:dyDescent="0.3">
      <c r="A13" t="s">
        <v>14</v>
      </c>
      <c r="B13">
        <v>31205576</v>
      </c>
      <c r="C13">
        <v>23248</v>
      </c>
      <c r="D13">
        <f>_xlfn.XLOOKUP(A13, [1]RS_Session_266_AU_911_C_to_D_ii!B:B, [1]RS_Session_266_AU_911_C_to_D_ii!C:C)</f>
        <v>3166</v>
      </c>
      <c r="E13">
        <f>_xlfn.XLOOKUP(A13, [1]RS_Session_266_AU_911_C_to_D_ii!B:B, [1]RS_Session_266_AU_911_C_to_D_ii!D:D)</f>
        <v>6218</v>
      </c>
      <c r="F13">
        <f>_xlfn.XLOOKUP(A13,[1]RS_Session_266_AU_911_C_to_D_ii!B:B, [1]RS_Session_266_AU_911_C_to_D_ii!E:E)</f>
        <v>844</v>
      </c>
      <c r="G13">
        <f>_xlfn.XLOOKUP(A13,[1]RS_Session_266_AU_911_C_to_D_ii!B:B, [1]RS_Session_266_AU_911_C_to_D_ii!F:F)</f>
        <v>3677</v>
      </c>
      <c r="H13">
        <f>_xlfn.XLOOKUP(A13,[1]RS_Session_266_AU_911_C_to_D_ii!B:B, [1]RS_Session_266_AU_911_C_to_D_ii!G:G)</f>
        <v>9343</v>
      </c>
      <c r="I13" s="1">
        <f t="shared" si="0"/>
        <v>74.49950611390733</v>
      </c>
      <c r="J13" s="1">
        <f t="shared" si="1"/>
        <v>10.145622692559817</v>
      </c>
      <c r="K13" s="1">
        <f t="shared" si="2"/>
        <v>11.783150549760723</v>
      </c>
      <c r="L13" t="str">
        <f t="shared" si="6"/>
        <v>Large Population State</v>
      </c>
      <c r="M13" t="str">
        <f t="shared" si="3"/>
        <v>Medium</v>
      </c>
      <c r="N13">
        <f t="shared" si="4"/>
        <v>25</v>
      </c>
      <c r="O13" t="str">
        <f t="shared" si="5"/>
        <v>No</v>
      </c>
      <c r="P13" t="s">
        <v>67</v>
      </c>
    </row>
    <row r="14" spans="1:16" x14ac:dyDescent="0.3">
      <c r="A14" t="s">
        <v>9</v>
      </c>
      <c r="B14">
        <v>60439692</v>
      </c>
      <c r="C14">
        <v>46237</v>
      </c>
      <c r="D14">
        <f>_xlfn.XLOOKUP(A14, [1]RS_Session_266_AU_911_C_to_D_ii!B:B, [1]RS_Session_266_AU_911_C_to_D_ii!C:C)</f>
        <v>9422</v>
      </c>
      <c r="E14">
        <f>_xlfn.XLOOKUP(A14, [1]RS_Session_266_AU_911_C_to_D_ii!B:B, [1]RS_Session_266_AU_911_C_to_D_ii!D:D)</f>
        <v>11167</v>
      </c>
      <c r="F14">
        <f>_xlfn.XLOOKUP(A14,[1]RS_Session_266_AU_911_C_to_D_ii!B:B, [1]RS_Session_266_AU_911_C_to_D_ii!E:E)</f>
        <v>4492</v>
      </c>
      <c r="G14">
        <f>_xlfn.XLOOKUP(A14,[1]RS_Session_266_AU_911_C_to_D_ii!B:B, [1]RS_Session_266_AU_911_C_to_D_ii!F:F)</f>
        <v>3257</v>
      </c>
      <c r="H14">
        <f>_xlfn.XLOOKUP(A14,[1]RS_Session_266_AU_911_C_to_D_ii!B:B, [1]RS_Session_266_AU_911_C_to_D_ii!G:G)</f>
        <v>17899</v>
      </c>
      <c r="I14" s="1">
        <f t="shared" si="0"/>
        <v>76.501051659892639</v>
      </c>
      <c r="J14" s="1">
        <f t="shared" si="1"/>
        <v>15.589093339522643</v>
      </c>
      <c r="K14" s="1">
        <f t="shared" si="2"/>
        <v>5.3888428154134207</v>
      </c>
      <c r="L14" t="str">
        <f t="shared" si="6"/>
        <v>Large Population State</v>
      </c>
      <c r="M14" t="str">
        <f t="shared" si="3"/>
        <v>Medium</v>
      </c>
      <c r="N14">
        <f t="shared" si="4"/>
        <v>24</v>
      </c>
      <c r="O14" t="str">
        <f t="shared" si="5"/>
        <v>No</v>
      </c>
      <c r="P14" t="s">
        <v>56</v>
      </c>
    </row>
    <row r="15" spans="1:16" x14ac:dyDescent="0.3">
      <c r="A15" t="s">
        <v>16</v>
      </c>
      <c r="B15">
        <v>25545198</v>
      </c>
      <c r="C15">
        <v>20370</v>
      </c>
      <c r="D15">
        <f>_xlfn.XLOOKUP(A15, [1]RS_Session_266_AU_911_C_to_D_ii!B:B, [1]RS_Session_266_AU_911_C_to_D_ii!C:C)</f>
        <v>5015</v>
      </c>
      <c r="E15">
        <f>_xlfn.XLOOKUP(A15, [1]RS_Session_266_AU_911_C_to_D_ii!B:B, [1]RS_Session_266_AU_911_C_to_D_ii!D:D)</f>
        <v>6726</v>
      </c>
      <c r="F15">
        <f>_xlfn.XLOOKUP(A15,[1]RS_Session_266_AU_911_C_to_D_ii!B:B, [1]RS_Session_266_AU_911_C_to_D_ii!E:E)</f>
        <v>629</v>
      </c>
      <c r="G15">
        <f>_xlfn.XLOOKUP(A15,[1]RS_Session_266_AU_911_C_to_D_ii!B:B, [1]RS_Session_266_AU_911_C_to_D_ii!F:F)</f>
        <v>3542</v>
      </c>
      <c r="H15">
        <f>_xlfn.XLOOKUP(A15,[1]RS_Session_266_AU_911_C_to_D_ii!B:B, [1]RS_Session_266_AU_911_C_to_D_ii!G:G)</f>
        <v>4458</v>
      </c>
      <c r="I15" s="1">
        <f t="shared" si="0"/>
        <v>79.741014338585273</v>
      </c>
      <c r="J15" s="1">
        <f t="shared" si="1"/>
        <v>19.63186975493398</v>
      </c>
      <c r="K15" s="1">
        <f t="shared" si="2"/>
        <v>13.865619675369125</v>
      </c>
      <c r="L15" t="str">
        <f t="shared" si="6"/>
        <v>Large Population State</v>
      </c>
      <c r="M15" t="str">
        <f t="shared" si="3"/>
        <v>Medium</v>
      </c>
      <c r="N15">
        <f t="shared" si="4"/>
        <v>23</v>
      </c>
      <c r="O15" t="str">
        <f t="shared" si="5"/>
        <v>No</v>
      </c>
      <c r="P15" t="s">
        <v>52</v>
      </c>
    </row>
    <row r="16" spans="1:16" x14ac:dyDescent="0.3">
      <c r="A16" t="s">
        <v>18</v>
      </c>
      <c r="B16">
        <v>10086292</v>
      </c>
      <c r="C16">
        <v>9206</v>
      </c>
      <c r="D16">
        <f>_xlfn.XLOOKUP(A16, [1]RS_Session_266_AU_911_C_to_D_ii!B:B, [1]RS_Session_266_AU_911_C_to_D_ii!C:C)</f>
        <v>2111</v>
      </c>
      <c r="E16">
        <f>_xlfn.XLOOKUP(A16, [1]RS_Session_266_AU_911_C_to_D_ii!B:B, [1]RS_Session_266_AU_911_C_to_D_ii!D:D)</f>
        <v>1699</v>
      </c>
      <c r="F16">
        <f>_xlfn.XLOOKUP(A16,[1]RS_Session_266_AU_911_C_to_D_ii!B:B, [1]RS_Session_266_AU_911_C_to_D_ii!E:E)</f>
        <v>2035</v>
      </c>
      <c r="G16">
        <f>_xlfn.XLOOKUP(A16,[1]RS_Session_266_AU_911_C_to_D_ii!B:B, [1]RS_Session_266_AU_911_C_to_D_ii!F:F)</f>
        <v>1511</v>
      </c>
      <c r="H16">
        <f>_xlfn.XLOOKUP(A16,[1]RS_Session_266_AU_911_C_to_D_ii!B:B, [1]RS_Session_266_AU_911_C_to_D_ii!G:G)</f>
        <v>1850</v>
      </c>
      <c r="I16" s="1">
        <f t="shared" si="0"/>
        <v>91.272392272601266</v>
      </c>
      <c r="J16" s="1">
        <f t="shared" si="1"/>
        <v>20.929396055557383</v>
      </c>
      <c r="K16" s="1">
        <f t="shared" si="2"/>
        <v>14.980728299359171</v>
      </c>
      <c r="L16" t="str">
        <f t="shared" si="6"/>
        <v>Large Population State</v>
      </c>
      <c r="M16" t="str">
        <f t="shared" si="3"/>
        <v>Medium</v>
      </c>
      <c r="N16">
        <f t="shared" si="4"/>
        <v>22</v>
      </c>
      <c r="O16" t="str">
        <f t="shared" si="5"/>
        <v>No</v>
      </c>
      <c r="P16" t="s">
        <v>53</v>
      </c>
    </row>
    <row r="17" spans="1:16" x14ac:dyDescent="0.3">
      <c r="A17" t="s">
        <v>8</v>
      </c>
      <c r="B17">
        <v>61095297</v>
      </c>
      <c r="C17">
        <v>56028</v>
      </c>
      <c r="D17">
        <f>_xlfn.XLOOKUP(A17, [1]RS_Session_266_AU_911_C_to_D_ii!B:B, [1]RS_Session_266_AU_911_C_to_D_ii!C:C)</f>
        <v>15112</v>
      </c>
      <c r="E17">
        <f>_xlfn.XLOOKUP(A17, [1]RS_Session_266_AU_911_C_to_D_ii!B:B, [1]RS_Session_266_AU_911_C_to_D_ii!D:D)</f>
        <v>6500</v>
      </c>
      <c r="F17">
        <f>_xlfn.XLOOKUP(A17,[1]RS_Session_266_AU_911_C_to_D_ii!B:B, [1]RS_Session_266_AU_911_C_to_D_ii!E:E)</f>
        <v>14530</v>
      </c>
      <c r="G17">
        <f>_xlfn.XLOOKUP(A17,[1]RS_Session_266_AU_911_C_to_D_ii!B:B, [1]RS_Session_266_AU_911_C_to_D_ii!F:F)</f>
        <v>6174</v>
      </c>
      <c r="H17">
        <f>_xlfn.XLOOKUP(A17,[1]RS_Session_266_AU_911_C_to_D_ii!B:B, [1]RS_Session_266_AU_911_C_to_D_ii!G:G)</f>
        <v>13712</v>
      </c>
      <c r="I17" s="1">
        <f t="shared" si="0"/>
        <v>91.705913140908365</v>
      </c>
      <c r="J17" s="1">
        <f t="shared" si="1"/>
        <v>24.735128139241223</v>
      </c>
      <c r="K17" s="1">
        <f t="shared" si="2"/>
        <v>10.105524161704295</v>
      </c>
      <c r="L17" t="str">
        <f t="shared" si="6"/>
        <v>Large Population State</v>
      </c>
      <c r="M17" t="str">
        <f t="shared" si="3"/>
        <v>Medium</v>
      </c>
      <c r="N17">
        <f t="shared" si="4"/>
        <v>21</v>
      </c>
      <c r="O17" t="str">
        <f t="shared" si="5"/>
        <v>No</v>
      </c>
      <c r="P17" t="s">
        <v>54</v>
      </c>
    </row>
    <row r="18" spans="1:16" x14ac:dyDescent="0.3">
      <c r="A18" t="s">
        <v>7</v>
      </c>
      <c r="B18">
        <v>68548437</v>
      </c>
      <c r="C18">
        <v>66791</v>
      </c>
      <c r="D18">
        <f>_xlfn.XLOOKUP(A18, [1]RS_Session_266_AU_911_C_to_D_ii!B:B, [1]RS_Session_266_AU_911_C_to_D_ii!C:C)</f>
        <v>13866</v>
      </c>
      <c r="E18">
        <f>_xlfn.XLOOKUP(A18, [1]RS_Session_266_AU_911_C_to_D_ii!B:B, [1]RS_Session_266_AU_911_C_to_D_ii!D:D)</f>
        <v>23820</v>
      </c>
      <c r="F18">
        <f>_xlfn.XLOOKUP(A18,[1]RS_Session_266_AU_911_C_to_D_ii!B:B, [1]RS_Session_266_AU_911_C_to_D_ii!E:E)</f>
        <v>2500</v>
      </c>
      <c r="G18">
        <f>_xlfn.XLOOKUP(A18,[1]RS_Session_266_AU_911_C_to_D_ii!B:B, [1]RS_Session_266_AU_911_C_to_D_ii!F:F)</f>
        <v>9474</v>
      </c>
      <c r="H18">
        <f>_xlfn.XLOOKUP(A18,[1]RS_Session_266_AU_911_C_to_D_ii!B:B, [1]RS_Session_266_AU_911_C_to_D_ii!G:G)</f>
        <v>17131</v>
      </c>
      <c r="I18" s="1">
        <f t="shared" si="0"/>
        <v>97.436211419379262</v>
      </c>
      <c r="J18" s="1">
        <f t="shared" si="1"/>
        <v>20.228032332815992</v>
      </c>
      <c r="K18" s="1">
        <f t="shared" si="2"/>
        <v>13.820884056043466</v>
      </c>
      <c r="L18" t="str">
        <f t="shared" si="6"/>
        <v>Large Population State</v>
      </c>
      <c r="M18" t="str">
        <f t="shared" si="3"/>
        <v>Medium</v>
      </c>
      <c r="N18">
        <f t="shared" si="4"/>
        <v>20</v>
      </c>
      <c r="O18" t="str">
        <f t="shared" si="5"/>
        <v>No</v>
      </c>
      <c r="P18" t="s">
        <v>56</v>
      </c>
    </row>
    <row r="19" spans="1:16" x14ac:dyDescent="0.3">
      <c r="A19" t="s">
        <v>6</v>
      </c>
      <c r="B19">
        <v>72147030</v>
      </c>
      <c r="C19">
        <v>82168</v>
      </c>
      <c r="D19">
        <f>_xlfn.XLOOKUP(A19, [1]RS_Session_266_AU_911_C_to_D_ii!B:B, [1]RS_Session_266_AU_911_C_to_D_ii!C:C)</f>
        <v>10025</v>
      </c>
      <c r="E19">
        <f>_xlfn.XLOOKUP(A19, [1]RS_Session_266_AU_911_C_to_D_ii!B:B, [1]RS_Session_266_AU_911_C_to_D_ii!D:D)</f>
        <v>12582</v>
      </c>
      <c r="F19">
        <f>_xlfn.XLOOKUP(A19,[1]RS_Session_266_AU_911_C_to_D_ii!B:B, [1]RS_Session_266_AU_911_C_to_D_ii!E:E)</f>
        <v>21978</v>
      </c>
      <c r="G19">
        <f>_xlfn.XLOOKUP(A19,[1]RS_Session_266_AU_911_C_to_D_ii!B:B, [1]RS_Session_266_AU_911_C_to_D_ii!F:F)</f>
        <v>7695</v>
      </c>
      <c r="H19">
        <f>_xlfn.XLOOKUP(A19,[1]RS_Session_266_AU_911_C_to_D_ii!B:B, [1]RS_Session_266_AU_911_C_to_D_ii!G:G)</f>
        <v>29888</v>
      </c>
      <c r="I19" s="1">
        <f t="shared" si="0"/>
        <v>113.88965006598332</v>
      </c>
      <c r="J19" s="1">
        <f t="shared" si="1"/>
        <v>13.895235881504755</v>
      </c>
      <c r="K19" s="1">
        <f t="shared" si="2"/>
        <v>10.665719711539062</v>
      </c>
      <c r="L19" t="str">
        <f t="shared" si="6"/>
        <v>Large Population State</v>
      </c>
      <c r="M19" t="str">
        <f t="shared" si="3"/>
        <v>High</v>
      </c>
      <c r="N19">
        <f t="shared" si="4"/>
        <v>16</v>
      </c>
      <c r="O19" t="str">
        <f t="shared" si="5"/>
        <v>No</v>
      </c>
      <c r="P19" t="s">
        <v>54</v>
      </c>
    </row>
    <row r="20" spans="1:16" x14ac:dyDescent="0.3">
      <c r="A20" t="s">
        <v>29</v>
      </c>
      <c r="B20">
        <v>12267032</v>
      </c>
      <c r="C20">
        <v>14006</v>
      </c>
      <c r="D20">
        <f>_xlfn.XLOOKUP(A20, [1]RS_Session_266_AU_911_C_to_D_ii!B:B, [1]RS_Session_266_AU_911_C_to_D_ii!C:C)</f>
        <v>3955</v>
      </c>
      <c r="E20">
        <f>_xlfn.XLOOKUP(A20, [1]RS_Session_266_AU_911_C_to_D_ii!B:B, [1]RS_Session_266_AU_911_C_to_D_ii!D:D)</f>
        <v>2769</v>
      </c>
      <c r="F20" t="str">
        <f>_xlfn.XLOOKUP(A20,[1]RS_Session_266_AU_911_C_to_D_ii!B:B, [1]RS_Session_266_AU_911_C_to_D_ii!E:E)</f>
        <v>NA</v>
      </c>
      <c r="G20">
        <f>_xlfn.XLOOKUP(A20,[1]RS_Session_266_AU_911_C_to_D_ii!B:B, [1]RS_Session_266_AU_911_C_to_D_ii!F:F)</f>
        <v>1862</v>
      </c>
      <c r="H20">
        <f>_xlfn.XLOOKUP(A20,[1]RS_Session_266_AU_911_C_to_D_ii!B:B, [1]RS_Session_266_AU_911_C_to_D_ii!G:G)</f>
        <v>5420</v>
      </c>
      <c r="I20" s="1">
        <f t="shared" si="0"/>
        <v>114.17594736852404</v>
      </c>
      <c r="J20" s="1">
        <f t="shared" si="1"/>
        <v>32.240887608347315</v>
      </c>
      <c r="K20" s="1">
        <f t="shared" si="2"/>
        <v>15.178895758974134</v>
      </c>
      <c r="L20" t="str">
        <f t="shared" si="6"/>
        <v>Large Population State</v>
      </c>
      <c r="M20" t="str">
        <f t="shared" si="3"/>
        <v>High</v>
      </c>
      <c r="N20">
        <f t="shared" si="4"/>
        <v>15</v>
      </c>
      <c r="O20" t="str">
        <f t="shared" si="5"/>
        <v>No</v>
      </c>
      <c r="P20" t="s">
        <v>53</v>
      </c>
    </row>
    <row r="21" spans="1:16" x14ac:dyDescent="0.3">
      <c r="A21" t="s">
        <v>19</v>
      </c>
      <c r="B21">
        <v>6864602</v>
      </c>
      <c r="C21">
        <v>10195</v>
      </c>
      <c r="D21">
        <f>_xlfn.XLOOKUP(A21, [1]RS_Session_266_AU_911_C_to_D_ii!B:B, [1]RS_Session_266_AU_911_C_to_D_ii!C:C)</f>
        <v>1005</v>
      </c>
      <c r="E21">
        <f>_xlfn.XLOOKUP(A21, [1]RS_Session_266_AU_911_C_to_D_ii!B:B, [1]RS_Session_266_AU_911_C_to_D_ii!D:D)</f>
        <v>969</v>
      </c>
      <c r="F21">
        <f>_xlfn.XLOOKUP(A21,[1]RS_Session_266_AU_911_C_to_D_ii!B:B, [1]RS_Session_266_AU_911_C_to_D_ii!E:E)</f>
        <v>3665</v>
      </c>
      <c r="G21">
        <f>_xlfn.XLOOKUP(A21,[1]RS_Session_266_AU_911_C_to_D_ii!B:B, [1]RS_Session_266_AU_911_C_to_D_ii!F:F)</f>
        <v>1924</v>
      </c>
      <c r="H21">
        <f>_xlfn.XLOOKUP(A21,[1]RS_Session_266_AU_911_C_to_D_ii!B:B, [1]RS_Session_266_AU_911_C_to_D_ii!G:G)</f>
        <v>2632</v>
      </c>
      <c r="I21" s="1">
        <f t="shared" si="0"/>
        <v>148.51552937810524</v>
      </c>
      <c r="J21" s="1">
        <f t="shared" si="1"/>
        <v>14.640324377145243</v>
      </c>
      <c r="K21" s="1">
        <f t="shared" si="2"/>
        <v>28.027844877241243</v>
      </c>
      <c r="L21" t="str">
        <f t="shared" si="6"/>
        <v>Low Population State / UT</v>
      </c>
      <c r="M21" t="str">
        <f t="shared" si="3"/>
        <v>High</v>
      </c>
      <c r="N21">
        <f t="shared" si="4"/>
        <v>11</v>
      </c>
      <c r="O21" t="str">
        <f t="shared" si="5"/>
        <v>No</v>
      </c>
      <c r="P21" t="s">
        <v>53</v>
      </c>
    </row>
    <row r="22" spans="1:16" x14ac:dyDescent="0.3">
      <c r="A22" t="s">
        <v>20</v>
      </c>
      <c r="B22">
        <v>3673917</v>
      </c>
      <c r="C22">
        <v>4435</v>
      </c>
      <c r="D22">
        <f>_xlfn.XLOOKUP(A22, [1]RS_Session_266_AU_911_C_to_D_ii!B:B, [1]RS_Session_266_AU_911_C_to_D_ii!C:C)</f>
        <v>918</v>
      </c>
      <c r="E22">
        <f>_xlfn.XLOOKUP(A22, [1]RS_Session_266_AU_911_C_to_D_ii!B:B, [1]RS_Session_266_AU_911_C_to_D_ii!D:D)</f>
        <v>630</v>
      </c>
      <c r="F22">
        <f>_xlfn.XLOOKUP(A22,[1]RS_Session_266_AU_911_C_to_D_ii!B:B, [1]RS_Session_266_AU_911_C_to_D_ii!E:E)</f>
        <v>900</v>
      </c>
      <c r="G22">
        <f>_xlfn.XLOOKUP(A22,[1]RS_Session_266_AU_911_C_to_D_ii!B:B, [1]RS_Session_266_AU_911_C_to_D_ii!F:F)</f>
        <v>1260</v>
      </c>
      <c r="H22">
        <f>_xlfn.XLOOKUP(A22,[1]RS_Session_266_AU_911_C_to_D_ii!B:B, [1]RS_Session_266_AU_911_C_to_D_ii!G:G)</f>
        <v>727</v>
      </c>
      <c r="I22" s="1">
        <f t="shared" si="0"/>
        <v>120.71584632968029</v>
      </c>
      <c r="J22" s="1">
        <f t="shared" si="1"/>
        <v>24.986955339491882</v>
      </c>
      <c r="K22" s="1">
        <f t="shared" si="2"/>
        <v>34.295821054204545</v>
      </c>
      <c r="L22" t="str">
        <f t="shared" si="6"/>
        <v>Low Population State / UT</v>
      </c>
      <c r="M22" t="str">
        <f t="shared" si="3"/>
        <v>High</v>
      </c>
      <c r="N22">
        <f t="shared" si="4"/>
        <v>14</v>
      </c>
      <c r="O22" t="str">
        <f t="shared" si="5"/>
        <v>No</v>
      </c>
      <c r="P22" t="s">
        <v>57</v>
      </c>
    </row>
    <row r="23" spans="1:16" x14ac:dyDescent="0.3">
      <c r="A23" t="s">
        <v>21</v>
      </c>
      <c r="B23">
        <v>2966889</v>
      </c>
      <c r="C23">
        <v>4588</v>
      </c>
      <c r="D23">
        <f>_xlfn.XLOOKUP(A23, [1]RS_Session_266_AU_911_C_to_D_ii!B:B, [1]RS_Session_266_AU_911_C_to_D_ii!C:C)</f>
        <v>1127</v>
      </c>
      <c r="E23">
        <f>_xlfn.XLOOKUP(A23, [1]RS_Session_266_AU_911_C_to_D_ii!B:B, [1]RS_Session_266_AU_911_C_to_D_ii!D:D)</f>
        <v>867</v>
      </c>
      <c r="F23">
        <f>_xlfn.XLOOKUP(A23,[1]RS_Session_266_AU_911_C_to_D_ii!B:B, [1]RS_Session_266_AU_911_C_to_D_ii!E:E)</f>
        <v>40</v>
      </c>
      <c r="G23">
        <f>_xlfn.XLOOKUP(A23,[1]RS_Session_266_AU_911_C_to_D_ii!B:B, [1]RS_Session_266_AU_911_C_to_D_ii!F:F)</f>
        <v>1960</v>
      </c>
      <c r="H23">
        <f>_xlfn.XLOOKUP(A23,[1]RS_Session_266_AU_911_C_to_D_ii!B:B, [1]RS_Session_266_AU_911_C_to_D_ii!G:G)</f>
        <v>594</v>
      </c>
      <c r="I23" s="1">
        <f t="shared" si="0"/>
        <v>154.64009607369874</v>
      </c>
      <c r="J23" s="1">
        <f t="shared" si="1"/>
        <v>37.985917235191479</v>
      </c>
      <c r="K23" s="1">
        <f t="shared" si="2"/>
        <v>66.062464756854737</v>
      </c>
      <c r="L23" t="str">
        <f>IF(B23&gt;=10000000,"Large Population State","Low Population State / UT")</f>
        <v>Low Population State / UT</v>
      </c>
      <c r="M23" t="str">
        <f t="shared" si="3"/>
        <v>High</v>
      </c>
      <c r="N23">
        <f t="shared" si="4"/>
        <v>10</v>
      </c>
      <c r="O23" t="str">
        <f t="shared" si="5"/>
        <v>No</v>
      </c>
      <c r="P23" t="s">
        <v>57</v>
      </c>
    </row>
    <row r="24" spans="1:16" x14ac:dyDescent="0.3">
      <c r="A24" t="s">
        <v>22</v>
      </c>
      <c r="B24">
        <v>2570390</v>
      </c>
      <c r="C24">
        <v>2795</v>
      </c>
      <c r="D24">
        <f>_xlfn.XLOOKUP(A24, [1]RS_Session_266_AU_911_C_to_D_ii!B:B, [1]RS_Session_266_AU_911_C_to_D_ii!C:C)</f>
        <v>420</v>
      </c>
      <c r="E24">
        <f>_xlfn.XLOOKUP(A24, [1]RS_Session_266_AU_911_C_to_D_ii!B:B, [1]RS_Session_266_AU_911_C_to_D_ii!D:D)</f>
        <v>365</v>
      </c>
      <c r="F24">
        <f>_xlfn.XLOOKUP(A24,[1]RS_Session_266_AU_911_C_to_D_ii!B:B, [1]RS_Session_266_AU_911_C_to_D_ii!E:E)</f>
        <v>10</v>
      </c>
      <c r="G24">
        <f>_xlfn.XLOOKUP(A24,[1]RS_Session_266_AU_911_C_to_D_ii!B:B, [1]RS_Session_266_AU_911_C_to_D_ii!F:F)</f>
        <v>551</v>
      </c>
      <c r="H24">
        <f>_xlfn.XLOOKUP(A24,[1]RS_Session_266_AU_911_C_to_D_ii!B:B, [1]RS_Session_266_AU_911_C_to_D_ii!G:G)</f>
        <v>1449</v>
      </c>
      <c r="I24" s="1">
        <f t="shared" si="0"/>
        <v>108.73836266091915</v>
      </c>
      <c r="J24" s="1">
        <f t="shared" si="1"/>
        <v>16.339932850656904</v>
      </c>
      <c r="K24" s="1">
        <f t="shared" si="2"/>
        <v>21.436435715980842</v>
      </c>
      <c r="L24" t="str">
        <f t="shared" si="6"/>
        <v>Low Population State / UT</v>
      </c>
      <c r="M24" t="str">
        <f t="shared" si="3"/>
        <v>High</v>
      </c>
      <c r="N24">
        <f t="shared" si="4"/>
        <v>18</v>
      </c>
      <c r="O24" t="str">
        <f t="shared" si="5"/>
        <v>No</v>
      </c>
      <c r="P24" t="s">
        <v>57</v>
      </c>
    </row>
    <row r="25" spans="1:16" x14ac:dyDescent="0.3">
      <c r="A25" t="s">
        <v>23</v>
      </c>
      <c r="B25">
        <v>1978502</v>
      </c>
      <c r="C25">
        <v>2048</v>
      </c>
      <c r="D25">
        <f>_xlfn.XLOOKUP(A25, [1]RS_Session_266_AU_911_C_to_D_ii!B:B, [1]RS_Session_266_AU_911_C_to_D_ii!C:C)</f>
        <v>706</v>
      </c>
      <c r="E25">
        <f>_xlfn.XLOOKUP(A25, [1]RS_Session_266_AU_911_C_to_D_ii!B:B, [1]RS_Session_266_AU_911_C_to_D_ii!D:D)</f>
        <v>325</v>
      </c>
      <c r="F25" t="str">
        <f>_xlfn.XLOOKUP(A25,[1]RS_Session_266_AU_911_C_to_D_ii!B:B, [1]RS_Session_266_AU_911_C_to_D_ii!E:E)</f>
        <v>NA</v>
      </c>
      <c r="G25">
        <f>_xlfn.XLOOKUP(A25,[1]RS_Session_266_AU_911_C_to_D_ii!B:B, [1]RS_Session_266_AU_911_C_to_D_ii!F:F)</f>
        <v>1017</v>
      </c>
      <c r="H25" t="str">
        <f>_xlfn.XLOOKUP(A25,[1]RS_Session_266_AU_911_C_to_D_ii!B:B, [1]RS_Session_266_AU_911_C_to_D_ii!G:G)</f>
        <v>NA</v>
      </c>
      <c r="I25" s="1">
        <f t="shared" si="0"/>
        <v>103.5126575560702</v>
      </c>
      <c r="J25" s="1">
        <f t="shared" si="1"/>
        <v>35.683562614543732</v>
      </c>
      <c r="K25" s="1">
        <f t="shared" si="2"/>
        <v>51.402525749279</v>
      </c>
      <c r="L25" t="str">
        <f t="shared" si="6"/>
        <v>Low Population State / UT</v>
      </c>
      <c r="M25" t="str">
        <f t="shared" si="3"/>
        <v>High</v>
      </c>
      <c r="N25">
        <f t="shared" si="4"/>
        <v>19</v>
      </c>
      <c r="O25" t="str">
        <f t="shared" si="5"/>
        <v>No</v>
      </c>
      <c r="P25" t="s">
        <v>57</v>
      </c>
    </row>
    <row r="26" spans="1:16" x14ac:dyDescent="0.3">
      <c r="A26" t="s">
        <v>24</v>
      </c>
      <c r="B26">
        <v>1458545</v>
      </c>
      <c r="C26">
        <v>2588</v>
      </c>
      <c r="D26">
        <f>_xlfn.XLOOKUP(A26, [1]RS_Session_266_AU_911_C_to_D_ii!B:B, [1]RS_Session_266_AU_911_C_to_D_ii!C:C)</f>
        <v>183</v>
      </c>
      <c r="E26">
        <f>_xlfn.XLOOKUP(A26, [1]RS_Session_266_AU_911_C_to_D_ii!B:B, [1]RS_Session_266_AU_911_C_to_D_ii!D:D)</f>
        <v>210</v>
      </c>
      <c r="F26">
        <f>_xlfn.XLOOKUP(A26,[1]RS_Session_266_AU_911_C_to_D_ii!B:B, [1]RS_Session_266_AU_911_C_to_D_ii!E:E)</f>
        <v>253</v>
      </c>
      <c r="G26">
        <f>_xlfn.XLOOKUP(A26,[1]RS_Session_266_AU_911_C_to_D_ii!B:B, [1]RS_Session_266_AU_911_C_to_D_ii!F:F)</f>
        <v>600</v>
      </c>
      <c r="H26">
        <f>_xlfn.XLOOKUP(A26,[1]RS_Session_266_AU_911_C_to_D_ii!B:B, [1]RS_Session_266_AU_911_C_to_D_ii!G:G)</f>
        <v>1342</v>
      </c>
      <c r="I26" s="1">
        <f t="shared" si="0"/>
        <v>177.43710341470438</v>
      </c>
      <c r="J26" s="1">
        <f t="shared" si="1"/>
        <v>12.5467503573767</v>
      </c>
      <c r="K26" s="1">
        <f t="shared" si="2"/>
        <v>41.136886417628531</v>
      </c>
      <c r="L26" t="str">
        <f t="shared" si="6"/>
        <v>Low Population State / UT</v>
      </c>
      <c r="M26" t="str">
        <f t="shared" si="3"/>
        <v>High</v>
      </c>
      <c r="N26">
        <f t="shared" si="4"/>
        <v>9</v>
      </c>
      <c r="O26" t="str">
        <f t="shared" si="5"/>
        <v>No</v>
      </c>
      <c r="P26" t="s">
        <v>56</v>
      </c>
    </row>
    <row r="27" spans="1:16" x14ac:dyDescent="0.3">
      <c r="A27" t="s">
        <v>25</v>
      </c>
      <c r="B27">
        <v>1383727</v>
      </c>
      <c r="C27">
        <v>2492</v>
      </c>
      <c r="D27">
        <f>_xlfn.XLOOKUP(A27, [1]RS_Session_266_AU_911_C_to_D_ii!B:B, [1]RS_Session_266_AU_911_C_to_D_ii!C:C)</f>
        <v>397</v>
      </c>
      <c r="E27">
        <f>_xlfn.XLOOKUP(A27, [1]RS_Session_266_AU_911_C_to_D_ii!B:B, [1]RS_Session_266_AU_911_C_to_D_ii!D:D)</f>
        <v>594</v>
      </c>
      <c r="F27" t="str">
        <f>_xlfn.XLOOKUP(A27,[1]RS_Session_266_AU_911_C_to_D_ii!B:B, [1]RS_Session_266_AU_911_C_to_D_ii!E:E)</f>
        <v>NA</v>
      </c>
      <c r="G27">
        <f>_xlfn.XLOOKUP(A27,[1]RS_Session_266_AU_911_C_to_D_ii!B:B, [1]RS_Session_266_AU_911_C_to_D_ii!F:F)</f>
        <v>1151</v>
      </c>
      <c r="H27">
        <f>_xlfn.XLOOKUP(A27,[1]RS_Session_266_AU_911_C_to_D_ii!B:B, [1]RS_Session_266_AU_911_C_to_D_ii!G:G)</f>
        <v>350</v>
      </c>
      <c r="I27" s="1">
        <f t="shared" si="0"/>
        <v>180.09332765784001</v>
      </c>
      <c r="J27" s="1">
        <f t="shared" si="1"/>
        <v>28.690630449503409</v>
      </c>
      <c r="K27" s="1">
        <f t="shared" si="2"/>
        <v>83.181147726394002</v>
      </c>
      <c r="L27" t="str">
        <f t="shared" si="6"/>
        <v>Low Population State / UT</v>
      </c>
      <c r="M27" t="str">
        <f t="shared" si="3"/>
        <v>High</v>
      </c>
      <c r="N27">
        <f t="shared" si="4"/>
        <v>8</v>
      </c>
      <c r="O27" t="str">
        <f t="shared" si="5"/>
        <v>No</v>
      </c>
      <c r="P27" t="s">
        <v>57</v>
      </c>
    </row>
    <row r="28" spans="1:16" x14ac:dyDescent="0.3">
      <c r="A28" t="s">
        <v>26</v>
      </c>
      <c r="B28">
        <v>1097206</v>
      </c>
      <c r="C28">
        <v>2368</v>
      </c>
      <c r="D28">
        <f>_xlfn.XLOOKUP(A28, [1]RS_Session_266_AU_911_C_to_D_ii!B:B, [1]RS_Session_266_AU_911_C_to_D_ii!C:C)</f>
        <v>655</v>
      </c>
      <c r="E28">
        <f>_xlfn.XLOOKUP(A28, [1]RS_Session_266_AU_911_C_to_D_ii!B:B, [1]RS_Session_266_AU_911_C_to_D_ii!D:D)</f>
        <v>240</v>
      </c>
      <c r="F28">
        <f>_xlfn.XLOOKUP(A28,[1]RS_Session_266_AU_911_C_to_D_ii!B:B, [1]RS_Session_266_AU_911_C_to_D_ii!E:E)</f>
        <v>70</v>
      </c>
      <c r="G28">
        <f>_xlfn.XLOOKUP(A28,[1]RS_Session_266_AU_911_C_to_D_ii!B:B, [1]RS_Session_266_AU_911_C_to_D_ii!F:F)</f>
        <v>903</v>
      </c>
      <c r="H28">
        <f>_xlfn.XLOOKUP(A28,[1]RS_Session_266_AU_911_C_to_D_ii!B:B, [1]RS_Session_266_AU_911_C_to_D_ii!G:G)</f>
        <v>500</v>
      </c>
      <c r="I28" s="1">
        <f t="shared" si="0"/>
        <v>215.82091239019837</v>
      </c>
      <c r="J28" s="1">
        <f t="shared" si="1"/>
        <v>59.697085141714496</v>
      </c>
      <c r="K28" s="1">
        <f t="shared" si="2"/>
        <v>82.299950966363653</v>
      </c>
      <c r="L28" t="str">
        <f t="shared" si="6"/>
        <v>Low Population State / UT</v>
      </c>
      <c r="M28" t="str">
        <f t="shared" si="3"/>
        <v>High</v>
      </c>
      <c r="N28">
        <f t="shared" si="4"/>
        <v>6</v>
      </c>
      <c r="O28" t="str">
        <f t="shared" si="5"/>
        <v>No</v>
      </c>
      <c r="P28" t="s">
        <v>57</v>
      </c>
    </row>
    <row r="29" spans="1:16" x14ac:dyDescent="0.3">
      <c r="A29" t="s">
        <v>27</v>
      </c>
      <c r="B29">
        <v>610577</v>
      </c>
      <c r="C29">
        <v>685</v>
      </c>
      <c r="D29">
        <f>_xlfn.XLOOKUP(A29, [1]RS_Session_266_AU_911_C_to_D_ii!B:B, [1]RS_Session_266_AU_911_C_to_D_ii!C:C)</f>
        <v>257</v>
      </c>
      <c r="E29">
        <f>_xlfn.XLOOKUP(A29, [1]RS_Session_266_AU_911_C_to_D_ii!B:B, [1]RS_Session_266_AU_911_C_to_D_ii!D:D)</f>
        <v>28</v>
      </c>
      <c r="F29" t="str">
        <f>_xlfn.XLOOKUP(A29,[1]RS_Session_266_AU_911_C_to_D_ii!B:B, [1]RS_Session_266_AU_911_C_to_D_ii!E:E)</f>
        <v>NA</v>
      </c>
      <c r="G29">
        <f>_xlfn.XLOOKUP(A29,[1]RS_Session_266_AU_911_C_to_D_ii!B:B, [1]RS_Session_266_AU_911_C_to_D_ii!F:F)</f>
        <v>400</v>
      </c>
      <c r="H29" t="str">
        <f>_xlfn.XLOOKUP(A29,[1]RS_Session_266_AU_911_C_to_D_ii!B:B, [1]RS_Session_266_AU_911_C_to_D_ii!G:G)</f>
        <v>NA</v>
      </c>
      <c r="I29" s="1">
        <f t="shared" si="0"/>
        <v>112.18896224391027</v>
      </c>
      <c r="J29" s="1">
        <f t="shared" si="1"/>
        <v>42.091333279832028</v>
      </c>
      <c r="K29" s="1">
        <f t="shared" si="2"/>
        <v>65.511802770166582</v>
      </c>
      <c r="L29" t="str">
        <f>IF(B29&gt;=10000000,"Large Population State","Low Population State / UT")</f>
        <v>Low Population State / UT</v>
      </c>
      <c r="M29" t="str">
        <f t="shared" si="3"/>
        <v>High</v>
      </c>
      <c r="N29">
        <f t="shared" si="4"/>
        <v>17</v>
      </c>
      <c r="O29" t="str">
        <f t="shared" si="5"/>
        <v>No</v>
      </c>
      <c r="P29" t="s">
        <v>57</v>
      </c>
    </row>
    <row r="30" spans="1:16" x14ac:dyDescent="0.3">
      <c r="A30" t="s">
        <v>12</v>
      </c>
      <c r="B30">
        <v>33406061</v>
      </c>
      <c r="C30">
        <v>42733</v>
      </c>
      <c r="D30">
        <f>_xlfn.XLOOKUP(A30, [1]RS_Session_266_AU_911_C_to_D_ii!B:B, [1]RS_Session_266_AU_911_C_to_D_ii!C:C)</f>
        <v>5727</v>
      </c>
      <c r="E30">
        <f>_xlfn.XLOOKUP(A30, [1]RS_Session_266_AU_911_C_to_D_ii!B:B, [1]RS_Session_266_AU_911_C_to_D_ii!D:D)</f>
        <v>6371</v>
      </c>
      <c r="F30">
        <f>_xlfn.XLOOKUP(A30,[1]RS_Session_266_AU_911_C_to_D_ii!B:B, [1]RS_Session_266_AU_911_C_to_D_ii!E:E)</f>
        <v>8347</v>
      </c>
      <c r="G30">
        <f>_xlfn.XLOOKUP(A30,[1]RS_Session_266_AU_911_C_to_D_ii!B:B, [1]RS_Session_266_AU_911_C_to_D_ii!F:F)</f>
        <v>15113</v>
      </c>
      <c r="H30">
        <f>_xlfn.XLOOKUP(A30,[1]RS_Session_266_AU_911_C_to_D_ii!B:B, [1]RS_Session_266_AU_911_C_to_D_ii!G:G)</f>
        <v>7175</v>
      </c>
      <c r="I30" s="1">
        <f t="shared" si="0"/>
        <v>127.91990052344094</v>
      </c>
      <c r="J30" s="1">
        <f t="shared" si="1"/>
        <v>17.143595588836408</v>
      </c>
      <c r="K30" s="1">
        <f t="shared" si="2"/>
        <v>45.240293370714973</v>
      </c>
      <c r="L30" t="str">
        <f t="shared" si="6"/>
        <v>Large Population State</v>
      </c>
      <c r="M30" t="str">
        <f t="shared" si="3"/>
        <v>High</v>
      </c>
      <c r="N30">
        <f t="shared" si="4"/>
        <v>13</v>
      </c>
      <c r="O30" t="str">
        <f t="shared" si="5"/>
        <v>No</v>
      </c>
      <c r="P30" t="s">
        <v>54</v>
      </c>
    </row>
    <row r="31" spans="1:16" x14ac:dyDescent="0.3">
      <c r="A31" t="s">
        <v>28</v>
      </c>
      <c r="B31">
        <v>16787941</v>
      </c>
      <c r="C31">
        <v>22292</v>
      </c>
      <c r="D31">
        <f>_xlfn.XLOOKUP(A31, [1]RS_Session_266_AU_911_C_to_D_ii!B:B, [1]RS_Session_266_AU_911_C_to_D_ii!C:C)</f>
        <v>12</v>
      </c>
      <c r="E31" t="str">
        <f>_xlfn.XLOOKUP(A31, [1]RS_Session_266_AU_911_C_to_D_ii!B:B, [1]RS_Session_266_AU_911_C_to_D_ii!D:D)</f>
        <v>NA</v>
      </c>
      <c r="F31">
        <f>_xlfn.XLOOKUP(A31,[1]RS_Session_266_AU_911_C_to_D_ii!B:B, [1]RS_Session_266_AU_911_C_to_D_ii!E:E)</f>
        <v>431</v>
      </c>
      <c r="G31">
        <f>_xlfn.XLOOKUP(A31,[1]RS_Session_266_AU_911_C_to_D_ii!B:B, [1]RS_Session_266_AU_911_C_to_D_ii!F:F)</f>
        <v>9789</v>
      </c>
      <c r="H31">
        <f>_xlfn.XLOOKUP(A31,[1]RS_Session_266_AU_911_C_to_D_ii!B:B, [1]RS_Session_266_AU_911_C_to_D_ii!G:G)</f>
        <v>12060</v>
      </c>
      <c r="I31" s="1">
        <f t="shared" si="0"/>
        <v>132.78578951403273</v>
      </c>
      <c r="J31" s="1">
        <f t="shared" si="1"/>
        <v>7.1479879515897751E-2</v>
      </c>
      <c r="K31" s="1">
        <f t="shared" si="2"/>
        <v>58.309711715093584</v>
      </c>
      <c r="L31" t="str">
        <f t="shared" si="6"/>
        <v>Large Population State</v>
      </c>
      <c r="M31" t="str">
        <f t="shared" si="3"/>
        <v>High</v>
      </c>
      <c r="N31">
        <f t="shared" si="4"/>
        <v>12</v>
      </c>
      <c r="O31" t="str">
        <f t="shared" si="5"/>
        <v>No</v>
      </c>
      <c r="P31" t="s">
        <v>53</v>
      </c>
    </row>
    <row r="32" spans="1:16" x14ac:dyDescent="0.3">
      <c r="A32" t="s">
        <v>30</v>
      </c>
      <c r="B32">
        <v>1247953</v>
      </c>
      <c r="C32">
        <v>4952</v>
      </c>
      <c r="D32">
        <f>_xlfn.XLOOKUP(A32, [1]RS_Session_266_AU_911_C_to_D_ii!B:B, [1]RS_Session_266_AU_911_C_to_D_ii!C:C)</f>
        <v>185</v>
      </c>
      <c r="E32">
        <f>_xlfn.XLOOKUP(A32, [1]RS_Session_266_AU_911_C_to_D_ii!B:B, [1]RS_Session_266_AU_911_C_to_D_ii!D:D)</f>
        <v>120</v>
      </c>
      <c r="F32" t="str">
        <f>_xlfn.XLOOKUP(A32,[1]RS_Session_266_AU_911_C_to_D_ii!B:B, [1]RS_Session_266_AU_911_C_to_D_ii!E:E)</f>
        <v>NA</v>
      </c>
      <c r="G32">
        <f>_xlfn.XLOOKUP(A32,[1]RS_Session_266_AU_911_C_to_D_ii!B:B, [1]RS_Session_266_AU_911_C_to_D_ii!F:F)</f>
        <v>1853</v>
      </c>
      <c r="H32">
        <f>_xlfn.XLOOKUP(A32,[1]RS_Session_266_AU_911_C_to_D_ii!B:B, [1]RS_Session_266_AU_911_C_to_D_ii!G:G)</f>
        <v>2794</v>
      </c>
      <c r="I32" s="1">
        <f t="shared" ref="I32:I37" si="7">(C32/B32)*100000</f>
        <v>396.80981575427921</v>
      </c>
      <c r="J32" s="1">
        <f t="shared" ref="J32:J37" si="8">(D32/B32)*100000</f>
        <v>14.824276234762046</v>
      </c>
      <c r="K32" s="1">
        <f t="shared" ref="K32:K37" si="9">(G32 / B32) * 100000</f>
        <v>148.48315601629227</v>
      </c>
      <c r="L32" t="str">
        <f t="shared" ref="L32:L37" si="10">IF(B32&gt;=10000000,"Large Population State","Low Population State / UT")</f>
        <v>Low Population State / UT</v>
      </c>
      <c r="M32" t="str">
        <f t="shared" ref="M32:M37" si="11">IF(I32&lt;40,"Low",IF(I32&lt;=100,"Medium","High"))</f>
        <v>High</v>
      </c>
      <c r="N32">
        <f t="shared" ref="N32:N37" si="12">RANK(I32,$I$2:$I$37,0)</f>
        <v>1</v>
      </c>
      <c r="O32" t="str">
        <f t="shared" ref="O32:O37" si="13">IF(AND(L32="Large Population State",I32&lt;50),"Yes","No")</f>
        <v>No</v>
      </c>
      <c r="P32" t="s">
        <v>67</v>
      </c>
    </row>
    <row r="33" spans="1:16" x14ac:dyDescent="0.3">
      <c r="A33" t="s">
        <v>31</v>
      </c>
      <c r="B33">
        <v>1055450</v>
      </c>
      <c r="C33">
        <v>3866</v>
      </c>
      <c r="D33">
        <f>_xlfn.XLOOKUP(A33, [1]RS_Session_266_AU_911_C_to_D_ii!B:B, [1]RS_Session_266_AU_911_C_to_D_ii!C:C)</f>
        <v>23</v>
      </c>
      <c r="E33">
        <f>_xlfn.XLOOKUP(A33, [1]RS_Session_266_AU_911_C_to_D_ii!B:B, [1]RS_Session_266_AU_911_C_to_D_ii!D:D)</f>
        <v>120</v>
      </c>
      <c r="F33">
        <f>_xlfn.XLOOKUP(A33,[1]RS_Session_266_AU_911_C_to_D_ii!B:B, [1]RS_Session_266_AU_911_C_to_D_ii!E:E)</f>
        <v>100</v>
      </c>
      <c r="G33">
        <f>_xlfn.XLOOKUP(A33,[1]RS_Session_266_AU_911_C_to_D_ii!B:B, [1]RS_Session_266_AU_911_C_to_D_ii!F:F)</f>
        <v>527</v>
      </c>
      <c r="H33">
        <f>_xlfn.XLOOKUP(A33,[1]RS_Session_266_AU_911_C_to_D_ii!B:B, [1]RS_Session_266_AU_911_C_to_D_ii!G:G)</f>
        <v>3096</v>
      </c>
      <c r="I33" s="1">
        <f t="shared" si="7"/>
        <v>366.28926050499786</v>
      </c>
      <c r="J33" s="1">
        <f t="shared" si="8"/>
        <v>2.1791652849495478</v>
      </c>
      <c r="K33" s="1">
        <f t="shared" si="9"/>
        <v>49.931308920365716</v>
      </c>
      <c r="L33" t="str">
        <f t="shared" si="10"/>
        <v>Low Population State / UT</v>
      </c>
      <c r="M33" t="str">
        <f t="shared" si="11"/>
        <v>High</v>
      </c>
      <c r="N33">
        <f t="shared" si="12"/>
        <v>3</v>
      </c>
      <c r="O33" t="str">
        <f t="shared" si="13"/>
        <v>No</v>
      </c>
      <c r="P33" t="s">
        <v>67</v>
      </c>
    </row>
    <row r="34" spans="1:16" x14ac:dyDescent="0.3">
      <c r="A34" t="s">
        <v>32</v>
      </c>
      <c r="B34">
        <v>585764</v>
      </c>
      <c r="C34">
        <v>1238</v>
      </c>
      <c r="D34">
        <f>_xlfn.XLOOKUP(A34, [1]RS_Session_266_AU_911_C_to_D_ii!B:B, [1]RS_Session_266_AU_911_C_to_D_ii!C:C)</f>
        <v>177</v>
      </c>
      <c r="E34">
        <f>_xlfn.XLOOKUP(A34, [1]RS_Session_266_AU_911_C_to_D_ii!B:B, [1]RS_Session_266_AU_911_C_to_D_ii!D:D)</f>
        <v>132</v>
      </c>
      <c r="F34">
        <f>_xlfn.XLOOKUP(A34,[1]RS_Session_266_AU_911_C_to_D_ii!B:B, [1]RS_Session_266_AU_911_C_to_D_ii!E:E)</f>
        <v>100</v>
      </c>
      <c r="G34">
        <f>_xlfn.XLOOKUP(A34,[1]RS_Session_266_AU_911_C_to_D_ii!B:B, [1]RS_Session_266_AU_911_C_to_D_ii!F:F)</f>
        <v>240</v>
      </c>
      <c r="H34">
        <f>_xlfn.XLOOKUP(A34,[1]RS_Session_266_AU_911_C_to_D_ii!B:B, [1]RS_Session_266_AU_911_C_to_D_ii!G:G)</f>
        <v>589</v>
      </c>
      <c r="I34" s="1">
        <f t="shared" si="7"/>
        <v>211.34791485990945</v>
      </c>
      <c r="J34" s="1">
        <f t="shared" si="8"/>
        <v>30.21694743958318</v>
      </c>
      <c r="K34" s="1">
        <f t="shared" si="9"/>
        <v>40.972132121468718</v>
      </c>
      <c r="L34" t="str">
        <f t="shared" si="10"/>
        <v>Low Population State / UT</v>
      </c>
      <c r="M34" t="str">
        <f t="shared" si="11"/>
        <v>High</v>
      </c>
      <c r="N34">
        <f t="shared" si="12"/>
        <v>7</v>
      </c>
      <c r="O34" t="str">
        <f t="shared" si="13"/>
        <v>No</v>
      </c>
      <c r="P34" t="s">
        <v>67</v>
      </c>
    </row>
    <row r="35" spans="1:16" x14ac:dyDescent="0.3">
      <c r="A35" t="s">
        <v>33</v>
      </c>
      <c r="B35">
        <v>380581</v>
      </c>
      <c r="C35">
        <v>1360</v>
      </c>
      <c r="D35">
        <f>_xlfn.XLOOKUP(A35, [1]RS_Session_266_AU_911_C_to_D_ii!B:B, [1]RS_Session_266_AU_911_C_to_D_ii!C:C)</f>
        <v>230</v>
      </c>
      <c r="E35">
        <f>_xlfn.XLOOKUP(A35, [1]RS_Session_266_AU_911_C_to_D_ii!B:B, [1]RS_Session_266_AU_911_C_to_D_ii!D:D)</f>
        <v>210</v>
      </c>
      <c r="F35" t="str">
        <f>_xlfn.XLOOKUP(A35,[1]RS_Session_266_AU_911_C_to_D_ii!B:B, [1]RS_Session_266_AU_911_C_to_D_ii!E:E)</f>
        <v>NA</v>
      </c>
      <c r="G35">
        <f>_xlfn.XLOOKUP(A35,[1]RS_Session_266_AU_911_C_to_D_ii!B:B, [1]RS_Session_266_AU_911_C_to_D_ii!F:F)</f>
        <v>220</v>
      </c>
      <c r="H35">
        <f>_xlfn.XLOOKUP(A35,[1]RS_Session_266_AU_911_C_to_D_ii!B:B, [1]RS_Session_266_AU_911_C_to_D_ii!G:G)</f>
        <v>700</v>
      </c>
      <c r="I35" s="1">
        <f t="shared" si="7"/>
        <v>357.34836999219613</v>
      </c>
      <c r="J35" s="1">
        <f t="shared" si="8"/>
        <v>60.433915513386111</v>
      </c>
      <c r="K35" s="1">
        <f t="shared" si="9"/>
        <v>57.806353969325848</v>
      </c>
      <c r="L35" t="str">
        <f t="shared" si="10"/>
        <v>Low Population State / UT</v>
      </c>
      <c r="M35" t="str">
        <f t="shared" si="11"/>
        <v>High</v>
      </c>
      <c r="N35">
        <f t="shared" si="12"/>
        <v>4</v>
      </c>
      <c r="O35" t="str">
        <f t="shared" si="13"/>
        <v>No</v>
      </c>
      <c r="P35" t="s">
        <v>67</v>
      </c>
    </row>
    <row r="36" spans="1:16" x14ac:dyDescent="0.3">
      <c r="A36" t="s">
        <v>34</v>
      </c>
      <c r="B36">
        <v>274000</v>
      </c>
      <c r="C36">
        <v>880</v>
      </c>
      <c r="D36">
        <f>_xlfn.XLOOKUP(A36, [1]RS_Session_266_AU_911_C_to_D_ii!B:B, [1]RS_Session_266_AU_911_C_to_D_ii!C:C)</f>
        <v>320</v>
      </c>
      <c r="E36">
        <f>_xlfn.XLOOKUP(A36, [1]RS_Session_266_AU_911_C_to_D_ii!B:B, [1]RS_Session_266_AU_911_C_to_D_ii!D:D)</f>
        <v>190</v>
      </c>
      <c r="F36" t="str">
        <f>_xlfn.XLOOKUP(A36,[1]RS_Session_266_AU_911_C_to_D_ii!B:B, [1]RS_Session_266_AU_911_C_to_D_ii!E:E)</f>
        <v>NA</v>
      </c>
      <c r="G36">
        <f>_xlfn.XLOOKUP(A36,[1]RS_Session_266_AU_911_C_to_D_ii!B:B, [1]RS_Session_266_AU_911_C_to_D_ii!F:F)</f>
        <v>370</v>
      </c>
      <c r="H36" t="str">
        <f>_xlfn.XLOOKUP(A36,[1]RS_Session_266_AU_911_C_to_D_ii!B:B, [1]RS_Session_266_AU_911_C_to_D_ii!G:G)</f>
        <v>NA</v>
      </c>
      <c r="I36" s="1">
        <f t="shared" si="7"/>
        <v>321.16788321167883</v>
      </c>
      <c r="J36" s="1">
        <f t="shared" si="8"/>
        <v>116.78832116788323</v>
      </c>
      <c r="K36" s="1">
        <f t="shared" si="9"/>
        <v>135.03649635036496</v>
      </c>
      <c r="L36" t="str">
        <f t="shared" si="10"/>
        <v>Low Population State / UT</v>
      </c>
      <c r="M36" t="str">
        <f t="shared" si="11"/>
        <v>High</v>
      </c>
      <c r="N36">
        <f t="shared" si="12"/>
        <v>5</v>
      </c>
      <c r="O36" t="str">
        <f t="shared" si="13"/>
        <v>No</v>
      </c>
      <c r="P36" t="s">
        <v>67</v>
      </c>
    </row>
    <row r="37" spans="1:16" x14ac:dyDescent="0.3">
      <c r="A37" t="s">
        <v>35</v>
      </c>
      <c r="B37">
        <v>64473</v>
      </c>
      <c r="C37">
        <v>250</v>
      </c>
      <c r="D37">
        <f>_xlfn.XLOOKUP(A37, [1]RS_Session_266_AU_911_C_to_D_ii!B:B, [1]RS_Session_266_AU_911_C_to_D_ii!C:C)</f>
        <v>40</v>
      </c>
      <c r="E37">
        <f>_xlfn.XLOOKUP(A37, [1]RS_Session_266_AU_911_C_to_D_ii!B:B, [1]RS_Session_266_AU_911_C_to_D_ii!D:D)</f>
        <v>90</v>
      </c>
      <c r="F37">
        <f>_xlfn.XLOOKUP(A37,[1]RS_Session_266_AU_911_C_to_D_ii!B:B, [1]RS_Session_266_AU_911_C_to_D_ii!E:E)</f>
        <v>70</v>
      </c>
      <c r="G37">
        <f>_xlfn.XLOOKUP(A37,[1]RS_Session_266_AU_911_C_to_D_ii!B:B, [1]RS_Session_266_AU_911_C_to_D_ii!F:F)</f>
        <v>50</v>
      </c>
      <c r="H37" t="str">
        <f>_xlfn.XLOOKUP(A37,[1]RS_Session_266_AU_911_C_to_D_ii!B:B, [1]RS_Session_266_AU_911_C_to_D_ii!G:G)</f>
        <v>NA</v>
      </c>
      <c r="I37" s="1">
        <f t="shared" si="7"/>
        <v>387.75921703658895</v>
      </c>
      <c r="J37" s="1">
        <f t="shared" si="8"/>
        <v>62.041474725854236</v>
      </c>
      <c r="K37" s="1">
        <f t="shared" si="9"/>
        <v>77.55184340731779</v>
      </c>
      <c r="L37" t="str">
        <f t="shared" si="10"/>
        <v>Low Population State / UT</v>
      </c>
      <c r="M37" t="str">
        <f t="shared" si="11"/>
        <v>High</v>
      </c>
      <c r="N37">
        <f t="shared" si="12"/>
        <v>2</v>
      </c>
      <c r="O37" t="str">
        <f t="shared" si="13"/>
        <v>No</v>
      </c>
      <c r="P37" t="s">
        <v>67</v>
      </c>
    </row>
    <row r="55" spans="9:10" x14ac:dyDescent="0.3">
      <c r="I55" t="s">
        <v>48</v>
      </c>
      <c r="J55" t="s">
        <v>59</v>
      </c>
    </row>
    <row r="56" spans="9:10" x14ac:dyDescent="0.3">
      <c r="I56" t="s">
        <v>61</v>
      </c>
      <c r="J56">
        <f>COUNTIF(M2:M33,"Low")</f>
        <v>3</v>
      </c>
    </row>
    <row r="57" spans="9:10" x14ac:dyDescent="0.3">
      <c r="I57" t="s">
        <v>60</v>
      </c>
      <c r="J57">
        <f>COUNTIF(M2:M33,"Medium")</f>
        <v>14</v>
      </c>
    </row>
    <row r="58" spans="9:10" x14ac:dyDescent="0.3">
      <c r="I58" t="s">
        <v>62</v>
      </c>
      <c r="J58">
        <f>COUNTIF(M2:M33,"High")</f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FC27-8477-4BE0-BCFB-CA7859C88172}">
  <dimension ref="A3:J5"/>
  <sheetViews>
    <sheetView zoomScale="57" workbookViewId="0">
      <selection activeCell="H27" sqref="H27"/>
    </sheetView>
  </sheetViews>
  <sheetFormatPr defaultRowHeight="14.4" x14ac:dyDescent="0.3"/>
  <cols>
    <col min="1" max="1" width="44.33203125" bestFit="1" customWidth="1"/>
    <col min="2" max="2" width="21.5546875" bestFit="1" customWidth="1"/>
    <col min="3" max="7" width="16.88671875" bestFit="1" customWidth="1"/>
    <col min="8" max="8" width="15.33203125" bestFit="1" customWidth="1"/>
    <col min="9" max="9" width="9.109375" bestFit="1" customWidth="1"/>
    <col min="10" max="10" width="16.88671875" bestFit="1" customWidth="1"/>
  </cols>
  <sheetData>
    <row r="3" spans="1:10" x14ac:dyDescent="0.3">
      <c r="B3" s="2" t="s">
        <v>66</v>
      </c>
    </row>
    <row r="4" spans="1:10" x14ac:dyDescent="0.3">
      <c r="B4" t="s">
        <v>52</v>
      </c>
      <c r="C4" t="s">
        <v>55</v>
      </c>
      <c r="D4" t="s">
        <v>53</v>
      </c>
      <c r="E4" t="s">
        <v>57</v>
      </c>
      <c r="F4" t="s">
        <v>54</v>
      </c>
      <c r="G4" t="s">
        <v>58</v>
      </c>
      <c r="H4" t="s">
        <v>56</v>
      </c>
      <c r="I4" t="s">
        <v>63</v>
      </c>
      <c r="J4" t="s">
        <v>64</v>
      </c>
    </row>
    <row r="5" spans="1:10" x14ac:dyDescent="0.3">
      <c r="A5" t="s">
        <v>65</v>
      </c>
      <c r="B5">
        <v>63.080590850407475</v>
      </c>
      <c r="C5">
        <v>48.817757174986497</v>
      </c>
      <c r="D5">
        <v>99.438068253899246</v>
      </c>
      <c r="E5">
        <v>142.24430927318812</v>
      </c>
      <c r="F5">
        <v>93.451303382365211</v>
      </c>
      <c r="G5">
        <v>302.17456678193685</v>
      </c>
      <c r="H5">
        <v>97.919513497931362</v>
      </c>
      <c r="J5">
        <v>137.52799761288858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population_india_census2011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 Tamang</cp:lastModifiedBy>
  <dcterms:created xsi:type="dcterms:W3CDTF">2025-12-24T12:40:26Z</dcterms:created>
  <dcterms:modified xsi:type="dcterms:W3CDTF">2026-01-08T14:00:40Z</dcterms:modified>
</cp:coreProperties>
</file>